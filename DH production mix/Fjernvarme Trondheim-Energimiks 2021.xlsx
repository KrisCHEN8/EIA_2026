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YIYU\Documents\Statkraft Varme\FV Energimix\"/>
    </mc:Choice>
  </mc:AlternateContent>
  <xr:revisionPtr revIDLastSave="0" documentId="13_ncr:1_{FC3409AE-3481-491E-B49F-F56936FA24B3}" xr6:coauthVersionLast="47" xr6:coauthVersionMax="47" xr10:uidLastSave="{00000000-0000-0000-0000-000000000000}"/>
  <bookViews>
    <workbookView xWindow="28695" yWindow="0" windowWidth="26010" windowHeight="20985" activeTab="1" xr2:uid="{00000000-000D-0000-FFFF-FFFF00000000}"/>
  </bookViews>
  <sheets>
    <sheet name="Ark1" sheetId="1" r:id="rId1"/>
    <sheet name="kopi til kvart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Bp8XQfGzfNoeOKWM7jxuwHogGqA=="/>
    </ext>
  </extLst>
</workbook>
</file>

<file path=xl/calcChain.xml><?xml version="1.0" encoding="utf-8"?>
<calcChain xmlns="http://schemas.openxmlformats.org/spreadsheetml/2006/main">
  <c r="O21" i="2" l="1"/>
  <c r="O20" i="2"/>
  <c r="O19" i="2"/>
  <c r="O18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N15" i="2"/>
  <c r="N14" i="2"/>
  <c r="N13" i="2"/>
  <c r="N12" i="2"/>
  <c r="N11" i="2"/>
  <c r="N10" i="2"/>
  <c r="N9" i="2"/>
  <c r="N8" i="2"/>
  <c r="N7" i="2"/>
  <c r="N6" i="2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N14" i="1"/>
  <c r="N13" i="1"/>
  <c r="N12" i="1"/>
  <c r="N11" i="1"/>
  <c r="N10" i="1"/>
  <c r="N9" i="1"/>
  <c r="N8" i="1"/>
  <c r="N7" i="1"/>
  <c r="N6" i="1"/>
  <c r="N16" i="1" s="1"/>
</calcChain>
</file>

<file path=xl/sharedStrings.xml><?xml version="1.0" encoding="utf-8"?>
<sst xmlns="http://schemas.openxmlformats.org/spreadsheetml/2006/main" count="54" uniqueCount="27">
  <si>
    <t>Fjernvarme Trondheim 2021</t>
  </si>
  <si>
    <t>Energimiks MWh</t>
  </si>
  <si>
    <t>Energikilde</t>
  </si>
  <si>
    <t>Jan</t>
  </si>
  <si>
    <t>Feb</t>
  </si>
  <si>
    <t>Mar</t>
  </si>
  <si>
    <t>Apr</t>
  </si>
  <si>
    <t>Mai</t>
  </si>
  <si>
    <t>Juni</t>
  </si>
  <si>
    <t>Jul</t>
  </si>
  <si>
    <t>Aug</t>
  </si>
  <si>
    <t>Sep</t>
  </si>
  <si>
    <t>Okt</t>
  </si>
  <si>
    <t>Nov</t>
  </si>
  <si>
    <t>Des</t>
  </si>
  <si>
    <t>Sum 2021</t>
  </si>
  <si>
    <t>Spillvarme (Avfallsforbrenning)</t>
  </si>
  <si>
    <t>Biogass</t>
  </si>
  <si>
    <t>Flis</t>
  </si>
  <si>
    <t>Bioolje</t>
  </si>
  <si>
    <t>Spillvarme (Rockwool)</t>
  </si>
  <si>
    <t>Varmepumpe</t>
  </si>
  <si>
    <t>Elektrisitet</t>
  </si>
  <si>
    <t>LNG</t>
  </si>
  <si>
    <t>LPG</t>
  </si>
  <si>
    <t>Fossil olje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</si>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</sst>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3" fontId="4" fillId="2" borderId="5" xfId="0" applyNumberFormat="1" applyFont="1" applyFill="1" applyBorder="1"/>
    <xf numFmtId="3" fontId="4" fillId="2" borderId="6" xfId="0" applyNumberFormat="1" applyFont="1" applyFill="1" applyBorder="1"/>
    <xf numFmtId="3" fontId="5" fillId="0" borderId="4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0" borderId="7" xfId="0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3" fontId="5" fillId="0" borderId="7" xfId="0" applyNumberFormat="1" applyFont="1" applyBorder="1"/>
    <xf numFmtId="3" fontId="2" fillId="0" borderId="0" xfId="0" applyNumberFormat="1" applyFont="1"/>
    <xf numFmtId="0" fontId="6" fillId="0" borderId="0" xfId="0" applyFont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00"/>
  <sheetViews>
    <sheetView zoomScale="130" zoomScaleNormal="130" workbookViewId="0">
      <selection sqref="A1:XFD1048576"/>
    </sheetView>
  </sheetViews>
  <sheetFormatPr defaultColWidth="14.44140625" defaultRowHeight="15" customHeight="1" x14ac:dyDescent="0.3"/>
  <cols>
    <col min="1" max="1" width="29.44140625" customWidth="1"/>
    <col min="2" max="26" width="10.6640625" customWidth="1"/>
  </cols>
  <sheetData>
    <row r="2" spans="1:14" ht="14.4" x14ac:dyDescent="0.3">
      <c r="A2" s="1" t="s">
        <v>0</v>
      </c>
    </row>
    <row r="3" spans="1:14" ht="14.4" x14ac:dyDescent="0.3">
      <c r="A3" s="2" t="s">
        <v>1</v>
      </c>
    </row>
    <row r="5" spans="1:14" ht="14.4" x14ac:dyDescent="0.3">
      <c r="A5" s="3" t="s">
        <v>2</v>
      </c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3" t="s">
        <v>15</v>
      </c>
    </row>
    <row r="6" spans="1:14" ht="14.4" x14ac:dyDescent="0.3">
      <c r="A6" s="6" t="s">
        <v>16</v>
      </c>
      <c r="B6" s="7">
        <v>56229</v>
      </c>
      <c r="C6" s="8">
        <v>48729</v>
      </c>
      <c r="D6" s="8">
        <v>54797</v>
      </c>
      <c r="E6" s="8">
        <v>48513</v>
      </c>
      <c r="F6" s="8">
        <v>33848</v>
      </c>
      <c r="G6" s="8">
        <v>24989</v>
      </c>
      <c r="H6" s="8">
        <v>23047</v>
      </c>
      <c r="I6" s="8">
        <v>27593</v>
      </c>
      <c r="J6" s="8">
        <v>26840</v>
      </c>
      <c r="K6" s="8">
        <v>45828</v>
      </c>
      <c r="L6" s="8">
        <v>53704</v>
      </c>
      <c r="M6" s="8">
        <v>53905</v>
      </c>
      <c r="N6" s="9">
        <f t="shared" ref="N6:N15" si="0">SUM(B6:M6)</f>
        <v>498022</v>
      </c>
    </row>
    <row r="7" spans="1:14" ht="14.4" x14ac:dyDescent="0.3">
      <c r="A7" s="6" t="s">
        <v>17</v>
      </c>
      <c r="B7" s="10">
        <v>418</v>
      </c>
      <c r="C7" s="11">
        <v>316</v>
      </c>
      <c r="D7" s="11">
        <v>390</v>
      </c>
      <c r="E7" s="11">
        <v>500</v>
      </c>
      <c r="F7" s="11">
        <v>400</v>
      </c>
      <c r="G7" s="11">
        <v>400</v>
      </c>
      <c r="H7" s="11">
        <v>355</v>
      </c>
      <c r="I7" s="11">
        <v>406</v>
      </c>
      <c r="J7" s="11">
        <v>397</v>
      </c>
      <c r="K7" s="11">
        <v>434</v>
      </c>
      <c r="L7" s="11">
        <v>205</v>
      </c>
      <c r="M7" s="11">
        <v>369</v>
      </c>
      <c r="N7" s="9">
        <f t="shared" si="0"/>
        <v>4590</v>
      </c>
    </row>
    <row r="8" spans="1:14" ht="14.4" x14ac:dyDescent="0.3">
      <c r="A8" s="6" t="s">
        <v>18</v>
      </c>
      <c r="B8" s="7">
        <v>4194</v>
      </c>
      <c r="C8" s="8">
        <v>3682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692</v>
      </c>
      <c r="M8" s="8">
        <v>5504</v>
      </c>
      <c r="N8" s="9">
        <f t="shared" si="0"/>
        <v>14072</v>
      </c>
    </row>
    <row r="9" spans="1:14" ht="14.4" x14ac:dyDescent="0.3">
      <c r="A9" s="6" t="s">
        <v>19</v>
      </c>
      <c r="B9" s="10">
        <v>428</v>
      </c>
      <c r="C9" s="11">
        <v>762</v>
      </c>
      <c r="D9" s="11">
        <v>11</v>
      </c>
      <c r="E9" s="11">
        <v>110</v>
      </c>
      <c r="F9" s="11">
        <v>18</v>
      </c>
      <c r="G9" s="11">
        <v>107</v>
      </c>
      <c r="H9" s="11">
        <v>50</v>
      </c>
      <c r="I9" s="11">
        <v>247</v>
      </c>
      <c r="J9" s="11">
        <v>203</v>
      </c>
      <c r="K9" s="11">
        <v>381</v>
      </c>
      <c r="L9" s="11">
        <v>808</v>
      </c>
      <c r="M9" s="11">
        <v>915</v>
      </c>
      <c r="N9" s="9">
        <f t="shared" si="0"/>
        <v>4040</v>
      </c>
    </row>
    <row r="10" spans="1:14" ht="14.4" x14ac:dyDescent="0.3">
      <c r="A10" s="6" t="s">
        <v>20</v>
      </c>
      <c r="B10" s="10">
        <v>542</v>
      </c>
      <c r="C10" s="11">
        <v>457</v>
      </c>
      <c r="D10" s="11">
        <v>514</v>
      </c>
      <c r="E10" s="11">
        <v>582</v>
      </c>
      <c r="F10" s="11">
        <v>400</v>
      </c>
      <c r="G10" s="11">
        <v>400</v>
      </c>
      <c r="H10" s="11">
        <v>0</v>
      </c>
      <c r="I10" s="11">
        <v>0</v>
      </c>
      <c r="J10" s="11">
        <v>0</v>
      </c>
      <c r="K10" s="11">
        <v>0</v>
      </c>
      <c r="L10" s="11">
        <v>164</v>
      </c>
      <c r="M10" s="11">
        <v>129</v>
      </c>
      <c r="N10" s="9">
        <f t="shared" si="0"/>
        <v>3188</v>
      </c>
    </row>
    <row r="11" spans="1:14" ht="14.4" x14ac:dyDescent="0.3">
      <c r="A11" s="6" t="s">
        <v>21</v>
      </c>
      <c r="B11" s="10">
        <v>1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46</v>
      </c>
      <c r="I11" s="11">
        <v>14</v>
      </c>
      <c r="J11" s="11">
        <v>0</v>
      </c>
      <c r="K11" s="11">
        <v>0</v>
      </c>
      <c r="L11" s="11">
        <v>0</v>
      </c>
      <c r="M11" s="11">
        <v>0</v>
      </c>
      <c r="N11" s="9">
        <f t="shared" si="0"/>
        <v>61</v>
      </c>
    </row>
    <row r="12" spans="1:14" ht="14.4" x14ac:dyDescent="0.3">
      <c r="A12" s="6" t="s">
        <v>22</v>
      </c>
      <c r="B12" s="7">
        <v>24227</v>
      </c>
      <c r="C12" s="8">
        <v>19487</v>
      </c>
      <c r="D12" s="8">
        <v>13333</v>
      </c>
      <c r="E12" s="8">
        <v>10910</v>
      </c>
      <c r="F12" s="11">
        <v>756</v>
      </c>
      <c r="G12" s="11">
        <v>17</v>
      </c>
      <c r="H12" s="11">
        <v>13</v>
      </c>
      <c r="I12" s="11">
        <v>18</v>
      </c>
      <c r="J12" s="8">
        <v>3037</v>
      </c>
      <c r="K12" s="8">
        <v>1992</v>
      </c>
      <c r="L12" s="8">
        <v>11243</v>
      </c>
      <c r="M12" s="8">
        <v>20033</v>
      </c>
      <c r="N12" s="9">
        <f t="shared" si="0"/>
        <v>105066</v>
      </c>
    </row>
    <row r="13" spans="1:14" ht="14.4" x14ac:dyDescent="0.3">
      <c r="A13" s="6" t="s">
        <v>23</v>
      </c>
      <c r="B13" s="7">
        <v>5824</v>
      </c>
      <c r="C13" s="8">
        <v>4923</v>
      </c>
      <c r="D13" s="8">
        <v>1374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9">
        <f t="shared" si="0"/>
        <v>12121</v>
      </c>
    </row>
    <row r="14" spans="1:14" ht="14.4" x14ac:dyDescent="0.3">
      <c r="A14" s="6" t="s">
        <v>24</v>
      </c>
      <c r="B14" s="7">
        <v>16919</v>
      </c>
      <c r="C14" s="8">
        <v>12068</v>
      </c>
      <c r="D14" s="8">
        <v>1186</v>
      </c>
      <c r="E14" s="8">
        <v>1339</v>
      </c>
      <c r="F14" s="8">
        <v>3049</v>
      </c>
      <c r="G14" s="11">
        <v>205</v>
      </c>
      <c r="H14" s="11">
        <v>219</v>
      </c>
      <c r="I14" s="11">
        <v>305</v>
      </c>
      <c r="J14" s="8">
        <v>3849</v>
      </c>
      <c r="K14" s="11">
        <v>194</v>
      </c>
      <c r="L14" s="8">
        <v>5820</v>
      </c>
      <c r="M14" s="8">
        <v>8575</v>
      </c>
      <c r="N14" s="9">
        <f t="shared" si="0"/>
        <v>53728</v>
      </c>
    </row>
    <row r="15" spans="1:14" ht="14.4" x14ac:dyDescent="0.3">
      <c r="A15" s="6" t="s">
        <v>25</v>
      </c>
      <c r="B15" s="7">
        <v>3911</v>
      </c>
      <c r="C15" s="8">
        <v>3238</v>
      </c>
      <c r="D15" s="11">
        <v>17</v>
      </c>
      <c r="E15" s="11">
        <v>368</v>
      </c>
      <c r="F15" s="11">
        <v>311</v>
      </c>
      <c r="G15" s="11">
        <v>17</v>
      </c>
      <c r="H15" s="11">
        <v>0</v>
      </c>
      <c r="I15" s="11">
        <v>170</v>
      </c>
      <c r="J15" s="11">
        <v>424</v>
      </c>
      <c r="K15" s="11">
        <v>302</v>
      </c>
      <c r="L15" s="8">
        <v>2036</v>
      </c>
      <c r="M15" s="8">
        <v>3981</v>
      </c>
      <c r="N15" s="9">
        <f t="shared" si="0"/>
        <v>14775</v>
      </c>
    </row>
    <row r="16" spans="1:14" ht="14.4" x14ac:dyDescent="0.3">
      <c r="A16" s="12" t="s">
        <v>26</v>
      </c>
      <c r="B16" s="13">
        <f t="shared" ref="B16:N16" si="1">SUM(B6:B15)</f>
        <v>112693</v>
      </c>
      <c r="C16" s="14">
        <f t="shared" si="1"/>
        <v>93662</v>
      </c>
      <c r="D16" s="14">
        <f t="shared" si="1"/>
        <v>71622</v>
      </c>
      <c r="E16" s="14">
        <f t="shared" si="1"/>
        <v>62322</v>
      </c>
      <c r="F16" s="14">
        <f t="shared" si="1"/>
        <v>38782</v>
      </c>
      <c r="G16" s="14">
        <f t="shared" si="1"/>
        <v>26135</v>
      </c>
      <c r="H16" s="14">
        <f t="shared" si="1"/>
        <v>23730</v>
      </c>
      <c r="I16" s="14">
        <f t="shared" si="1"/>
        <v>28753</v>
      </c>
      <c r="J16" s="14">
        <f t="shared" si="1"/>
        <v>34750</v>
      </c>
      <c r="K16" s="14">
        <f t="shared" si="1"/>
        <v>49131</v>
      </c>
      <c r="L16" s="14">
        <f t="shared" si="1"/>
        <v>74672</v>
      </c>
      <c r="M16" s="14">
        <f t="shared" si="1"/>
        <v>93411</v>
      </c>
      <c r="N16" s="15">
        <f t="shared" si="1"/>
        <v>709663</v>
      </c>
    </row>
    <row r="18" spans="1:14" ht="14.4" x14ac:dyDescent="0.3">
      <c r="N18" s="16"/>
    </row>
    <row r="20" spans="1:14" ht="14.4" x14ac:dyDescent="0.3">
      <c r="A20" s="17"/>
    </row>
    <row r="21" spans="1:14" ht="15.75" customHeight="1" x14ac:dyDescent="0.3">
      <c r="A21" s="17"/>
    </row>
    <row r="22" spans="1:14" ht="15.75" customHeight="1" x14ac:dyDescent="0.3">
      <c r="A22" s="1"/>
    </row>
    <row r="23" spans="1:14" ht="15.75" customHeight="1" x14ac:dyDescent="0.3"/>
    <row r="24" spans="1:14" ht="15.75" customHeight="1" x14ac:dyDescent="0.3"/>
    <row r="25" spans="1:14" ht="15.75" customHeight="1" x14ac:dyDescent="0.3"/>
    <row r="26" spans="1:14" ht="15.75" customHeight="1" x14ac:dyDescent="0.3"/>
    <row r="27" spans="1:14" ht="15.75" customHeight="1" x14ac:dyDescent="0.3"/>
    <row r="28" spans="1:14" ht="15.75" customHeight="1" x14ac:dyDescent="0.3"/>
    <row r="29" spans="1:14" ht="15.75" customHeight="1" x14ac:dyDescent="0.3"/>
    <row r="30" spans="1:14" ht="15.75" customHeight="1" x14ac:dyDescent="0.3"/>
    <row r="31" spans="1:14" ht="15.75" customHeight="1" x14ac:dyDescent="0.3"/>
    <row r="32" spans="1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F2CC-4E29-444B-8108-CEE8FD8B93CF}">
  <dimension ref="A2:R1000"/>
  <sheetViews>
    <sheetView tabSelected="1" workbookViewId="0">
      <selection activeCell="O18" sqref="O18:O21"/>
    </sheetView>
  </sheetViews>
  <sheetFormatPr defaultColWidth="14.44140625" defaultRowHeight="14.4" x14ac:dyDescent="0.3"/>
  <cols>
    <col min="1" max="1" width="29.44140625" customWidth="1"/>
    <col min="2" max="26" width="10.6640625" customWidth="1"/>
  </cols>
  <sheetData>
    <row r="2" spans="1:14" x14ac:dyDescent="0.3">
      <c r="A2" s="1" t="s">
        <v>0</v>
      </c>
    </row>
    <row r="3" spans="1:14" x14ac:dyDescent="0.3">
      <c r="A3" s="2" t="s">
        <v>1</v>
      </c>
    </row>
    <row r="5" spans="1:14" ht="15" thickBot="1" x14ac:dyDescent="0.35">
      <c r="A5" s="3" t="s">
        <v>2</v>
      </c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3" t="s">
        <v>15</v>
      </c>
    </row>
    <row r="6" spans="1:14" x14ac:dyDescent="0.3">
      <c r="A6" s="6" t="s">
        <v>16</v>
      </c>
      <c r="B6" s="7">
        <v>56229</v>
      </c>
      <c r="C6" s="8">
        <v>48729</v>
      </c>
      <c r="D6" s="8">
        <v>54797</v>
      </c>
      <c r="E6" s="8">
        <v>48513</v>
      </c>
      <c r="F6" s="8">
        <v>33848</v>
      </c>
      <c r="G6" s="8">
        <v>24989</v>
      </c>
      <c r="H6" s="8">
        <v>23047</v>
      </c>
      <c r="I6" s="8">
        <v>27593</v>
      </c>
      <c r="J6" s="8">
        <v>26840</v>
      </c>
      <c r="K6" s="8">
        <v>45828</v>
      </c>
      <c r="L6" s="8">
        <v>53704</v>
      </c>
      <c r="M6" s="8">
        <v>53905</v>
      </c>
      <c r="N6" s="9">
        <f t="shared" ref="N6:N15" si="0">SUM(B6:M6)</f>
        <v>498022</v>
      </c>
    </row>
    <row r="7" spans="1:14" x14ac:dyDescent="0.3">
      <c r="A7" s="6" t="s">
        <v>17</v>
      </c>
      <c r="B7" s="10">
        <v>418</v>
      </c>
      <c r="C7" s="11">
        <v>316</v>
      </c>
      <c r="D7" s="11">
        <v>390</v>
      </c>
      <c r="E7" s="11">
        <v>500</v>
      </c>
      <c r="F7" s="11">
        <v>400</v>
      </c>
      <c r="G7" s="11">
        <v>400</v>
      </c>
      <c r="H7" s="11">
        <v>355</v>
      </c>
      <c r="I7" s="11">
        <v>406</v>
      </c>
      <c r="J7" s="11">
        <v>397</v>
      </c>
      <c r="K7" s="11">
        <v>434</v>
      </c>
      <c r="L7" s="11">
        <v>205</v>
      </c>
      <c r="M7" s="11">
        <v>369</v>
      </c>
      <c r="N7" s="9">
        <f t="shared" si="0"/>
        <v>4590</v>
      </c>
    </row>
    <row r="8" spans="1:14" x14ac:dyDescent="0.3">
      <c r="A8" s="6" t="s">
        <v>18</v>
      </c>
      <c r="B8" s="7">
        <v>4194</v>
      </c>
      <c r="C8" s="8">
        <v>3682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692</v>
      </c>
      <c r="M8" s="8">
        <v>5504</v>
      </c>
      <c r="N8" s="9">
        <f t="shared" si="0"/>
        <v>14072</v>
      </c>
    </row>
    <row r="9" spans="1:14" x14ac:dyDescent="0.3">
      <c r="A9" s="6" t="s">
        <v>19</v>
      </c>
      <c r="B9" s="10">
        <v>428</v>
      </c>
      <c r="C9" s="11">
        <v>762</v>
      </c>
      <c r="D9" s="11">
        <v>11</v>
      </c>
      <c r="E9" s="11">
        <v>110</v>
      </c>
      <c r="F9" s="11">
        <v>18</v>
      </c>
      <c r="G9" s="11">
        <v>107</v>
      </c>
      <c r="H9" s="11">
        <v>50</v>
      </c>
      <c r="I9" s="11">
        <v>247</v>
      </c>
      <c r="J9" s="11">
        <v>203</v>
      </c>
      <c r="K9" s="11">
        <v>381</v>
      </c>
      <c r="L9" s="11">
        <v>808</v>
      </c>
      <c r="M9" s="11">
        <v>915</v>
      </c>
      <c r="N9" s="9">
        <f t="shared" si="0"/>
        <v>4040</v>
      </c>
    </row>
    <row r="10" spans="1:14" x14ac:dyDescent="0.3">
      <c r="A10" s="6" t="s">
        <v>20</v>
      </c>
      <c r="B10" s="10">
        <v>542</v>
      </c>
      <c r="C10" s="11">
        <v>457</v>
      </c>
      <c r="D10" s="11">
        <v>514</v>
      </c>
      <c r="E10" s="11">
        <v>582</v>
      </c>
      <c r="F10" s="11">
        <v>400</v>
      </c>
      <c r="G10" s="11">
        <v>400</v>
      </c>
      <c r="H10" s="11">
        <v>0</v>
      </c>
      <c r="I10" s="11">
        <v>0</v>
      </c>
      <c r="J10" s="11">
        <v>0</v>
      </c>
      <c r="K10" s="11">
        <v>0</v>
      </c>
      <c r="L10" s="11">
        <v>164</v>
      </c>
      <c r="M10" s="11">
        <v>129</v>
      </c>
      <c r="N10" s="9">
        <f t="shared" si="0"/>
        <v>3188</v>
      </c>
    </row>
    <row r="11" spans="1:14" x14ac:dyDescent="0.3">
      <c r="A11" s="6" t="s">
        <v>21</v>
      </c>
      <c r="B11" s="10">
        <v>1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46</v>
      </c>
      <c r="I11" s="11">
        <v>14</v>
      </c>
      <c r="J11" s="11">
        <v>0</v>
      </c>
      <c r="K11" s="11">
        <v>0</v>
      </c>
      <c r="L11" s="11">
        <v>0</v>
      </c>
      <c r="M11" s="11">
        <v>0</v>
      </c>
      <c r="N11" s="9">
        <f t="shared" si="0"/>
        <v>61</v>
      </c>
    </row>
    <row r="12" spans="1:14" x14ac:dyDescent="0.3">
      <c r="A12" s="6" t="s">
        <v>22</v>
      </c>
      <c r="B12" s="7">
        <v>24227</v>
      </c>
      <c r="C12" s="8">
        <v>19487</v>
      </c>
      <c r="D12" s="8">
        <v>13333</v>
      </c>
      <c r="E12" s="8">
        <v>10910</v>
      </c>
      <c r="F12" s="11">
        <v>756</v>
      </c>
      <c r="G12" s="11">
        <v>17</v>
      </c>
      <c r="H12" s="11">
        <v>13</v>
      </c>
      <c r="I12" s="11">
        <v>18</v>
      </c>
      <c r="J12" s="8">
        <v>3037</v>
      </c>
      <c r="K12" s="8">
        <v>1992</v>
      </c>
      <c r="L12" s="8">
        <v>11243</v>
      </c>
      <c r="M12" s="8">
        <v>20033</v>
      </c>
      <c r="N12" s="9">
        <f t="shared" si="0"/>
        <v>105066</v>
      </c>
    </row>
    <row r="13" spans="1:14" x14ac:dyDescent="0.3">
      <c r="A13" s="6" t="s">
        <v>23</v>
      </c>
      <c r="B13" s="7">
        <v>5824</v>
      </c>
      <c r="C13" s="8">
        <v>4923</v>
      </c>
      <c r="D13" s="8">
        <v>1374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9">
        <f t="shared" si="0"/>
        <v>12121</v>
      </c>
    </row>
    <row r="14" spans="1:14" x14ac:dyDescent="0.3">
      <c r="A14" s="6" t="s">
        <v>24</v>
      </c>
      <c r="B14" s="7">
        <v>16919</v>
      </c>
      <c r="C14" s="8">
        <v>12068</v>
      </c>
      <c r="D14" s="8">
        <v>1186</v>
      </c>
      <c r="E14" s="8">
        <v>1339</v>
      </c>
      <c r="F14" s="8">
        <v>3049</v>
      </c>
      <c r="G14" s="11">
        <v>205</v>
      </c>
      <c r="H14" s="11">
        <v>219</v>
      </c>
      <c r="I14" s="11">
        <v>305</v>
      </c>
      <c r="J14" s="8">
        <v>3849</v>
      </c>
      <c r="K14" s="11">
        <v>194</v>
      </c>
      <c r="L14" s="8">
        <v>5820</v>
      </c>
      <c r="M14" s="8">
        <v>8575</v>
      </c>
      <c r="N14" s="9">
        <f t="shared" si="0"/>
        <v>53728</v>
      </c>
    </row>
    <row r="15" spans="1:14" x14ac:dyDescent="0.3">
      <c r="A15" s="6" t="s">
        <v>25</v>
      </c>
      <c r="B15" s="7">
        <v>3911</v>
      </c>
      <c r="C15" s="8">
        <v>3238</v>
      </c>
      <c r="D15" s="11">
        <v>17</v>
      </c>
      <c r="E15" s="11">
        <v>368</v>
      </c>
      <c r="F15" s="11">
        <v>311</v>
      </c>
      <c r="G15" s="11">
        <v>17</v>
      </c>
      <c r="H15" s="11">
        <v>0</v>
      </c>
      <c r="I15" s="11">
        <v>170</v>
      </c>
      <c r="J15" s="11">
        <v>424</v>
      </c>
      <c r="K15" s="11">
        <v>302</v>
      </c>
      <c r="L15" s="8">
        <v>2036</v>
      </c>
      <c r="M15" s="8">
        <v>3981</v>
      </c>
      <c r="N15" s="9">
        <f t="shared" si="0"/>
        <v>14775</v>
      </c>
    </row>
    <row r="16" spans="1:14" ht="15" thickBot="1" x14ac:dyDescent="0.35">
      <c r="A16" s="12" t="s">
        <v>26</v>
      </c>
      <c r="B16" s="13">
        <f t="shared" ref="B16:N16" si="1">SUM(B6:B15)</f>
        <v>112693</v>
      </c>
      <c r="C16" s="14">
        <f t="shared" si="1"/>
        <v>93662</v>
      </c>
      <c r="D16" s="14">
        <f t="shared" si="1"/>
        <v>71622</v>
      </c>
      <c r="E16" s="14">
        <f t="shared" si="1"/>
        <v>62322</v>
      </c>
      <c r="F16" s="14">
        <f t="shared" si="1"/>
        <v>38782</v>
      </c>
      <c r="G16" s="14">
        <f t="shared" si="1"/>
        <v>26135</v>
      </c>
      <c r="H16" s="14">
        <f t="shared" si="1"/>
        <v>23730</v>
      </c>
      <c r="I16" s="14">
        <f t="shared" si="1"/>
        <v>28753</v>
      </c>
      <c r="J16" s="14">
        <f t="shared" si="1"/>
        <v>34750</v>
      </c>
      <c r="K16" s="14">
        <f t="shared" si="1"/>
        <v>49131</v>
      </c>
      <c r="L16" s="14">
        <f t="shared" si="1"/>
        <v>74672</v>
      </c>
      <c r="M16" s="14">
        <f t="shared" si="1"/>
        <v>93411</v>
      </c>
      <c r="N16" s="15">
        <f t="shared" si="1"/>
        <v>709663</v>
      </c>
    </row>
    <row r="18" spans="1:18" x14ac:dyDescent="0.3">
      <c r="N18" s="16"/>
      <c r="O18" s="18">
        <f>SUM(B6:D6)</f>
        <v>159755</v>
      </c>
      <c r="P18" s="18"/>
      <c r="Q18" s="18"/>
      <c r="R18" s="18"/>
    </row>
    <row r="19" spans="1:18" x14ac:dyDescent="0.3">
      <c r="O19" s="18">
        <f>SUM(E6:G6)</f>
        <v>107350</v>
      </c>
    </row>
    <row r="20" spans="1:18" x14ac:dyDescent="0.3">
      <c r="A20" s="17"/>
      <c r="O20" s="18">
        <f>SUM(H6:J6)</f>
        <v>77480</v>
      </c>
    </row>
    <row r="21" spans="1:18" ht="15.75" customHeight="1" x14ac:dyDescent="0.3">
      <c r="A21" s="17"/>
      <c r="O21" s="18">
        <f>SUM(K6:M6)</f>
        <v>153437</v>
      </c>
    </row>
    <row r="22" spans="1:18" ht="15.75" customHeight="1" x14ac:dyDescent="0.3">
      <c r="A22" s="1"/>
    </row>
    <row r="23" spans="1:18" ht="15.75" customHeight="1" x14ac:dyDescent="0.3"/>
    <row r="24" spans="1:18" ht="15.75" customHeight="1" x14ac:dyDescent="0.3"/>
    <row r="25" spans="1:18" ht="15.75" customHeight="1" x14ac:dyDescent="0.3"/>
    <row r="26" spans="1:18" ht="15.75" customHeight="1" x14ac:dyDescent="0.3"/>
    <row r="27" spans="1:18" ht="15.75" customHeight="1" x14ac:dyDescent="0.3"/>
    <row r="28" spans="1:18" ht="15.75" customHeight="1" x14ac:dyDescent="0.3"/>
    <row r="29" spans="1:18" ht="15.75" customHeight="1" x14ac:dyDescent="0.3"/>
    <row r="30" spans="1:18" ht="15.75" customHeight="1" x14ac:dyDescent="0.3"/>
    <row r="31" spans="1:18" ht="15.75" customHeight="1" x14ac:dyDescent="0.3"/>
    <row r="32" spans="1:1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kopi til kvartal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Utne Åmund</dc:creator>
  <cp:lastModifiedBy>Yiyu Ding</cp:lastModifiedBy>
  <dcterms:created xsi:type="dcterms:W3CDTF">2022-04-21T12:32:11Z</dcterms:created>
  <dcterms:modified xsi:type="dcterms:W3CDTF">2024-12-11T15:12:05Z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afab47-5f18-4dcb-9ef3-cd87045d98ab_Enabled">
    <vt:lpwstr>true</vt:lpwstr>
  </property>
  <property fmtid="{D5CDD505-2E9C-101B-9397-08002B2CF9AE}" pid="3" name="MSIP_Label_f8afab47-5f18-4dcb-9ef3-cd87045d98ab_SetDate">
    <vt:lpwstr>2022-04-21T12:32:11Z</vt:lpwstr>
  </property>
  <property fmtid="{D5CDD505-2E9C-101B-9397-08002B2CF9AE}" pid="4" name="MSIP_Label_f8afab47-5f18-4dcb-9ef3-cd87045d98ab_Method">
    <vt:lpwstr>Standard</vt:lpwstr>
  </property>
  <property fmtid="{D5CDD505-2E9C-101B-9397-08002B2CF9AE}" pid="5" name="MSIP_Label_f8afab47-5f18-4dcb-9ef3-cd87045d98ab_Name">
    <vt:lpwstr>Statkraft Internal - No Label</vt:lpwstr>
  </property>
  <property fmtid="{D5CDD505-2E9C-101B-9397-08002B2CF9AE}" pid="6" name="MSIP_Label_f8afab47-5f18-4dcb-9ef3-cd87045d98ab_SiteId">
    <vt:lpwstr>a40c0d68-338e-44ef-ab17-812ee42d12c7</vt:lpwstr>
  </property>
  <property fmtid="{D5CDD505-2E9C-101B-9397-08002B2CF9AE}" pid="7" name="MSIP_Label_f8afab47-5f18-4dcb-9ef3-cd87045d98ab_ActionId">
    <vt:lpwstr>c9847818-f665-4f06-8ef6-4df7f2f5e2f1</vt:lpwstr>
  </property>
  <property fmtid="{D5CDD505-2E9C-101B-9397-08002B2CF9AE}" pid="8" name="MSIP_Label_f8afab47-5f18-4dcb-9ef3-cd87045d98ab_ContentBits">
    <vt:lpwstr>0</vt:lpwstr>
  </property>
</Properties>
</file>