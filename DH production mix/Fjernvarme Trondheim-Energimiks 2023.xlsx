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wsl.localhost\Ubuntu\home\yangzhe\myprojects\EIA_2026\DH production mix\"/>
    </mc:Choice>
  </mc:AlternateContent>
  <xr:revisionPtr revIDLastSave="0" documentId="13_ncr:1_{E76CA92C-03EB-45E7-B315-737298EDA9EE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Ark1" sheetId="1" r:id="rId1"/>
    <sheet name="kopi til kvart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I0niBKm4hKcj9P8oRkDgT6H61fnQ1Xbt0bNZvUsrulg="/>
    </ext>
  </extLst>
</workbook>
</file>

<file path=xl/calcChain.xml><?xml version="1.0" encoding="utf-8"?>
<calcChain xmlns="http://schemas.openxmlformats.org/spreadsheetml/2006/main">
  <c r="C24" i="2" l="1"/>
  <c r="D24" i="2"/>
  <c r="E24" i="2"/>
  <c r="F24" i="2"/>
  <c r="G24" i="2"/>
  <c r="H24" i="2"/>
  <c r="I24" i="2"/>
  <c r="J24" i="2"/>
  <c r="K24" i="2"/>
  <c r="L24" i="2"/>
  <c r="M24" i="2"/>
  <c r="C23" i="2"/>
  <c r="D23" i="2"/>
  <c r="E23" i="2"/>
  <c r="F23" i="2"/>
  <c r="G23" i="2"/>
  <c r="H23" i="2"/>
  <c r="I23" i="2"/>
  <c r="J23" i="2"/>
  <c r="K23" i="2"/>
  <c r="L23" i="2"/>
  <c r="M23" i="2"/>
  <c r="C22" i="2"/>
  <c r="D22" i="2"/>
  <c r="E22" i="2"/>
  <c r="F22" i="2"/>
  <c r="G22" i="2"/>
  <c r="H22" i="2"/>
  <c r="I22" i="2"/>
  <c r="J22" i="2"/>
  <c r="K22" i="2"/>
  <c r="L22" i="2"/>
  <c r="M22" i="2"/>
  <c r="C21" i="2"/>
  <c r="D21" i="2"/>
  <c r="E21" i="2"/>
  <c r="F21" i="2"/>
  <c r="G21" i="2"/>
  <c r="H21" i="2"/>
  <c r="I21" i="2"/>
  <c r="J21" i="2"/>
  <c r="K21" i="2"/>
  <c r="L21" i="2"/>
  <c r="M21" i="2"/>
  <c r="B24" i="2"/>
  <c r="B23" i="2"/>
  <c r="B22" i="2"/>
  <c r="B21" i="2"/>
  <c r="O24" i="2"/>
  <c r="O23" i="2"/>
  <c r="O22" i="2"/>
  <c r="O21" i="2"/>
  <c r="Q23" i="2"/>
  <c r="N19" i="2"/>
  <c r="P19" i="2" s="1"/>
  <c r="N18" i="2"/>
  <c r="P18" i="2" s="1"/>
  <c r="N17" i="2"/>
  <c r="P17" i="2" s="1"/>
  <c r="N16" i="2"/>
  <c r="P16" i="2" s="1"/>
  <c r="Q16" i="2" s="1"/>
  <c r="N15" i="2"/>
  <c r="P15" i="2" s="1"/>
  <c r="N14" i="2"/>
  <c r="P14" i="2" s="1"/>
  <c r="N13" i="2"/>
  <c r="P13" i="2" s="1"/>
  <c r="N12" i="2"/>
  <c r="P12" i="2" s="1"/>
  <c r="N11" i="2"/>
  <c r="P11" i="2" s="1"/>
  <c r="N10" i="2"/>
  <c r="P10" i="2" s="1"/>
  <c r="N9" i="2"/>
  <c r="P9" i="2" s="1"/>
  <c r="Q23" i="1"/>
  <c r="N19" i="1"/>
  <c r="P19" i="1" s="1"/>
  <c r="N18" i="1"/>
  <c r="P18" i="1" s="1"/>
  <c r="N17" i="1"/>
  <c r="P17" i="1" s="1"/>
  <c r="N16" i="1"/>
  <c r="P16" i="1" s="1"/>
  <c r="Q16" i="1" s="1"/>
  <c r="N15" i="1"/>
  <c r="P15" i="1" s="1"/>
  <c r="N14" i="1"/>
  <c r="P14" i="1" s="1"/>
  <c r="P13" i="1"/>
  <c r="N13" i="1"/>
  <c r="N12" i="1"/>
  <c r="N11" i="1"/>
  <c r="P11" i="1" s="1"/>
  <c r="N10" i="1"/>
  <c r="P10" i="1" s="1"/>
  <c r="N9" i="1"/>
  <c r="P9" i="1" s="1"/>
  <c r="P12" i="1" l="1"/>
</calcChain>
</file>

<file path=xl/sharedStrings.xml><?xml version="1.0" encoding="utf-8"?>
<sst xmlns="http://schemas.openxmlformats.org/spreadsheetml/2006/main" count="58" uniqueCount="28">
  <si>
    <t>Fjernvarme Trondheim 2023</t>
  </si>
  <si>
    <t>Energimiks MWh</t>
  </si>
  <si>
    <t>Energikilde</t>
  </si>
  <si>
    <t>Jan</t>
  </si>
  <si>
    <t>Feb</t>
  </si>
  <si>
    <t>Mar</t>
  </si>
  <si>
    <t>Apr</t>
  </si>
  <si>
    <t>Mai</t>
  </si>
  <si>
    <t>Juni</t>
  </si>
  <si>
    <t>Jul</t>
  </si>
  <si>
    <t>Aug</t>
  </si>
  <si>
    <t>Sep</t>
  </si>
  <si>
    <t>Okt</t>
  </si>
  <si>
    <t>Nov</t>
  </si>
  <si>
    <t>Des</t>
  </si>
  <si>
    <t>Sum</t>
  </si>
  <si>
    <t>Andel</t>
  </si>
  <si>
    <t>Fossilandel</t>
  </si>
  <si>
    <t>Spillvarme (Avfallsforbrenning)</t>
  </si>
  <si>
    <t>Biogass</t>
  </si>
  <si>
    <t>Flis</t>
  </si>
  <si>
    <t>Bioolje</t>
  </si>
  <si>
    <t>Spillvarme (Rockwool)</t>
  </si>
  <si>
    <t>Varmepumpe</t>
  </si>
  <si>
    <t>Elektrisitet</t>
  </si>
  <si>
    <t>LNG</t>
  </si>
  <si>
    <t>LPG</t>
  </si>
  <si>
    <t>Fossil olje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</si>
</sst>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i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4" xfId="0" applyFont="1" applyBorder="1"/>
    <xf numFmtId="3" fontId="4" fillId="2" borderId="5" xfId="0" applyNumberFormat="1" applyFont="1" applyFill="1" applyBorder="1" applyAlignment="1">
      <alignment horizontal="center"/>
    </xf>
    <xf numFmtId="3" fontId="4" fillId="2" borderId="6" xfId="0" applyNumberFormat="1" applyFont="1" applyFill="1" applyBorder="1" applyAlignment="1">
      <alignment horizontal="center"/>
    </xf>
    <xf numFmtId="3" fontId="4" fillId="2" borderId="7" xfId="0" applyNumberFormat="1" applyFont="1" applyFill="1" applyBorder="1" applyAlignment="1">
      <alignment horizontal="center"/>
    </xf>
    <xf numFmtId="3" fontId="4" fillId="0" borderId="4" xfId="0" applyNumberFormat="1" applyFont="1" applyBorder="1"/>
    <xf numFmtId="164" fontId="2" fillId="0" borderId="0" xfId="0" applyNumberFormat="1" applyFont="1"/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3" fillId="0" borderId="8" xfId="0" applyFont="1" applyBorder="1"/>
    <xf numFmtId="3" fontId="3" fillId="0" borderId="9" xfId="0" applyNumberFormat="1" applyFont="1" applyBorder="1" applyAlignment="1">
      <alignment horizontal="center"/>
    </xf>
    <xf numFmtId="3" fontId="3" fillId="0" borderId="10" xfId="0" applyNumberFormat="1" applyFont="1" applyBorder="1" applyAlignment="1">
      <alignment horizontal="center"/>
    </xf>
    <xf numFmtId="3" fontId="4" fillId="0" borderId="10" xfId="0" applyNumberFormat="1" applyFont="1" applyBorder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1000"/>
  <sheetViews>
    <sheetView workbookViewId="0">
      <selection sqref="A1:XFD1048576"/>
    </sheetView>
  </sheetViews>
  <sheetFormatPr defaultColWidth="14.44140625" defaultRowHeight="15" customHeight="1" x14ac:dyDescent="0.3"/>
  <cols>
    <col min="1" max="1" width="29.88671875" customWidth="1"/>
    <col min="2" max="13" width="10.6640625" customWidth="1"/>
    <col min="14" max="14" width="11.6640625" customWidth="1"/>
    <col min="15" max="26" width="10.6640625" customWidth="1"/>
  </cols>
  <sheetData>
    <row r="2" spans="1:17" ht="14.4" x14ac:dyDescent="0.3">
      <c r="A2" s="1" t="s">
        <v>0</v>
      </c>
    </row>
    <row r="3" spans="1:17" ht="14.4" x14ac:dyDescent="0.3">
      <c r="A3" s="2" t="s">
        <v>1</v>
      </c>
    </row>
    <row r="8" spans="1:17" ht="14.4" x14ac:dyDescent="0.3">
      <c r="A8" s="3" t="s">
        <v>2</v>
      </c>
      <c r="B8" s="4" t="s">
        <v>3</v>
      </c>
      <c r="C8" s="5" t="s">
        <v>4</v>
      </c>
      <c r="D8" s="5" t="s">
        <v>5</v>
      </c>
      <c r="E8" s="5" t="s">
        <v>6</v>
      </c>
      <c r="F8" s="5" t="s">
        <v>7</v>
      </c>
      <c r="G8" s="6" t="s">
        <v>8</v>
      </c>
      <c r="H8" s="6" t="s">
        <v>9</v>
      </c>
      <c r="I8" s="6" t="s">
        <v>10</v>
      </c>
      <c r="J8" s="6" t="s">
        <v>11</v>
      </c>
      <c r="K8" s="6" t="s">
        <v>12</v>
      </c>
      <c r="L8" s="6" t="s">
        <v>13</v>
      </c>
      <c r="M8" s="6" t="s">
        <v>14</v>
      </c>
      <c r="N8" s="6" t="s">
        <v>15</v>
      </c>
      <c r="P8" s="2" t="s">
        <v>16</v>
      </c>
      <c r="Q8" s="2" t="s">
        <v>17</v>
      </c>
    </row>
    <row r="9" spans="1:17" ht="14.4" x14ac:dyDescent="0.3">
      <c r="A9" s="7" t="s">
        <v>18</v>
      </c>
      <c r="B9" s="8">
        <v>55026</v>
      </c>
      <c r="C9" s="9">
        <v>48700</v>
      </c>
      <c r="D9" s="9">
        <v>51729</v>
      </c>
      <c r="E9" s="9">
        <v>45663</v>
      </c>
      <c r="F9" s="9">
        <v>37819</v>
      </c>
      <c r="G9" s="10">
        <v>22446</v>
      </c>
      <c r="H9" s="10">
        <v>24391</v>
      </c>
      <c r="I9" s="10">
        <v>25950</v>
      </c>
      <c r="J9" s="10">
        <v>33040</v>
      </c>
      <c r="K9" s="10">
        <v>48736</v>
      </c>
      <c r="L9" s="10">
        <v>51845</v>
      </c>
      <c r="M9" s="10">
        <v>45903</v>
      </c>
      <c r="N9" s="11">
        <f t="shared" ref="N9:N19" si="0">SUM(B9:M9)</f>
        <v>491248</v>
      </c>
      <c r="P9" s="12">
        <f t="shared" ref="P9:P19" si="1">N9/$N$19</f>
        <v>0.66496561115495356</v>
      </c>
    </row>
    <row r="10" spans="1:17" ht="14.4" x14ac:dyDescent="0.3">
      <c r="A10" s="7" t="s">
        <v>19</v>
      </c>
      <c r="B10" s="13">
        <v>353</v>
      </c>
      <c r="C10" s="14">
        <v>363</v>
      </c>
      <c r="D10" s="14">
        <v>353</v>
      </c>
      <c r="E10" s="14">
        <v>257</v>
      </c>
      <c r="F10" s="14">
        <v>344</v>
      </c>
      <c r="G10" s="15">
        <v>308</v>
      </c>
      <c r="H10" s="15">
        <v>242</v>
      </c>
      <c r="I10" s="15">
        <v>288</v>
      </c>
      <c r="J10" s="15">
        <v>105</v>
      </c>
      <c r="K10" s="15">
        <v>0</v>
      </c>
      <c r="L10" s="15">
        <v>0</v>
      </c>
      <c r="M10" s="15">
        <v>0</v>
      </c>
      <c r="N10" s="11">
        <f t="shared" si="0"/>
        <v>2613</v>
      </c>
      <c r="P10" s="12">
        <f t="shared" si="1"/>
        <v>3.5370223226311222E-3</v>
      </c>
    </row>
    <row r="11" spans="1:17" ht="14.4" x14ac:dyDescent="0.3">
      <c r="A11" s="7" t="s">
        <v>20</v>
      </c>
      <c r="B11" s="8">
        <v>2736</v>
      </c>
      <c r="C11" s="9">
        <v>3247</v>
      </c>
      <c r="D11" s="9">
        <v>2331</v>
      </c>
      <c r="E11" s="14">
        <v>427</v>
      </c>
      <c r="F11" s="14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0">
        <v>2123</v>
      </c>
      <c r="M11" s="10">
        <v>1765</v>
      </c>
      <c r="N11" s="11">
        <f t="shared" si="0"/>
        <v>12629</v>
      </c>
      <c r="P11" s="12">
        <f t="shared" si="1"/>
        <v>1.7094931080179274E-2</v>
      </c>
    </row>
    <row r="12" spans="1:17" ht="14.4" x14ac:dyDescent="0.3">
      <c r="A12" s="7" t="s">
        <v>21</v>
      </c>
      <c r="B12" s="13">
        <v>589</v>
      </c>
      <c r="C12" s="14">
        <v>0</v>
      </c>
      <c r="D12" s="14">
        <v>76</v>
      </c>
      <c r="E12" s="14">
        <v>141</v>
      </c>
      <c r="F12" s="14">
        <v>122</v>
      </c>
      <c r="G12" s="15">
        <v>3</v>
      </c>
      <c r="H12" s="15">
        <v>0</v>
      </c>
      <c r="I12" s="15">
        <v>37</v>
      </c>
      <c r="J12" s="15">
        <v>80</v>
      </c>
      <c r="K12" s="15">
        <v>692</v>
      </c>
      <c r="L12" s="10">
        <v>2357</v>
      </c>
      <c r="M12" s="10">
        <v>2685</v>
      </c>
      <c r="N12" s="11">
        <f t="shared" si="0"/>
        <v>6782</v>
      </c>
      <c r="P12" s="12">
        <f t="shared" si="1"/>
        <v>9.1802852629484389E-3</v>
      </c>
    </row>
    <row r="13" spans="1:17" ht="14.4" x14ac:dyDescent="0.3">
      <c r="A13" s="7" t="s">
        <v>22</v>
      </c>
      <c r="B13" s="13">
        <v>133</v>
      </c>
      <c r="C13" s="14">
        <v>441</v>
      </c>
      <c r="D13" s="14">
        <v>296</v>
      </c>
      <c r="E13" s="14">
        <v>262</v>
      </c>
      <c r="F13" s="14">
        <v>99</v>
      </c>
      <c r="G13" s="15">
        <v>224</v>
      </c>
      <c r="H13" s="15">
        <v>0</v>
      </c>
      <c r="I13" s="15">
        <v>1</v>
      </c>
      <c r="J13" s="15">
        <v>68</v>
      </c>
      <c r="K13" s="15">
        <v>108</v>
      </c>
      <c r="L13" s="15">
        <v>91</v>
      </c>
      <c r="M13" s="15">
        <v>81</v>
      </c>
      <c r="N13" s="11">
        <f t="shared" si="0"/>
        <v>1804</v>
      </c>
      <c r="P13" s="12">
        <f t="shared" si="1"/>
        <v>2.4419396364433773E-3</v>
      </c>
    </row>
    <row r="14" spans="1:17" ht="14.4" x14ac:dyDescent="0.3">
      <c r="A14" s="7" t="s">
        <v>23</v>
      </c>
      <c r="B14" s="13">
        <v>166</v>
      </c>
      <c r="C14" s="14">
        <v>156</v>
      </c>
      <c r="D14" s="14">
        <v>178</v>
      </c>
      <c r="E14" s="14">
        <v>36</v>
      </c>
      <c r="F14" s="14">
        <v>1</v>
      </c>
      <c r="G14" s="15">
        <v>0</v>
      </c>
      <c r="H14" s="15">
        <v>1</v>
      </c>
      <c r="I14" s="15">
        <v>1</v>
      </c>
      <c r="J14" s="15">
        <v>0</v>
      </c>
      <c r="K14" s="15">
        <v>0</v>
      </c>
      <c r="L14" s="15">
        <v>0</v>
      </c>
      <c r="M14" s="15">
        <v>120</v>
      </c>
      <c r="N14" s="11">
        <f t="shared" si="0"/>
        <v>659</v>
      </c>
      <c r="P14" s="12">
        <f t="shared" si="1"/>
        <v>8.9203892484267494E-4</v>
      </c>
    </row>
    <row r="15" spans="1:17" ht="14.4" x14ac:dyDescent="0.3">
      <c r="A15" s="7" t="s">
        <v>24</v>
      </c>
      <c r="B15" s="8">
        <v>22222</v>
      </c>
      <c r="C15" s="9">
        <v>18567</v>
      </c>
      <c r="D15" s="9">
        <v>27280</v>
      </c>
      <c r="E15" s="9">
        <v>7085</v>
      </c>
      <c r="F15" s="9">
        <v>3209</v>
      </c>
      <c r="G15" s="10">
        <v>3800</v>
      </c>
      <c r="H15" s="15">
        <v>17</v>
      </c>
      <c r="I15" s="15">
        <v>225</v>
      </c>
      <c r="J15" s="15">
        <v>345</v>
      </c>
      <c r="K15" s="10">
        <v>12985</v>
      </c>
      <c r="L15" s="10">
        <v>21484</v>
      </c>
      <c r="M15" s="10">
        <v>31900</v>
      </c>
      <c r="N15" s="11">
        <f t="shared" si="0"/>
        <v>149119</v>
      </c>
      <c r="P15" s="12">
        <f t="shared" si="1"/>
        <v>0.20185121765343678</v>
      </c>
    </row>
    <row r="16" spans="1:17" ht="14.4" x14ac:dyDescent="0.3">
      <c r="A16" s="7" t="s">
        <v>25</v>
      </c>
      <c r="B16" s="13">
        <v>484</v>
      </c>
      <c r="C16" s="14">
        <v>982</v>
      </c>
      <c r="D16" s="14">
        <v>560</v>
      </c>
      <c r="E16" s="14">
        <v>0</v>
      </c>
      <c r="F16" s="14">
        <v>0</v>
      </c>
      <c r="G16" s="15">
        <v>0</v>
      </c>
      <c r="H16" s="15">
        <v>0</v>
      </c>
      <c r="I16" s="15">
        <v>0</v>
      </c>
      <c r="J16" s="15">
        <v>0</v>
      </c>
      <c r="K16" s="15">
        <v>658</v>
      </c>
      <c r="L16" s="10">
        <v>5704</v>
      </c>
      <c r="M16" s="10">
        <v>4520</v>
      </c>
      <c r="N16" s="11">
        <f t="shared" si="0"/>
        <v>12908</v>
      </c>
      <c r="P16" s="12">
        <f t="shared" si="1"/>
        <v>1.7472592476281103E-2</v>
      </c>
      <c r="Q16" s="12">
        <f>SUM(P16:P18)</f>
        <v>0.10003966121471607</v>
      </c>
    </row>
    <row r="17" spans="1:17" ht="14.4" x14ac:dyDescent="0.3">
      <c r="A17" s="7" t="s">
        <v>26</v>
      </c>
      <c r="B17" s="8">
        <v>5325</v>
      </c>
      <c r="C17" s="9">
        <v>3529</v>
      </c>
      <c r="D17" s="9">
        <v>6885</v>
      </c>
      <c r="E17" s="9">
        <v>1450</v>
      </c>
      <c r="F17" s="14">
        <v>69</v>
      </c>
      <c r="G17" s="10">
        <v>2157</v>
      </c>
      <c r="H17" s="15">
        <v>0</v>
      </c>
      <c r="I17" s="15">
        <v>2</v>
      </c>
      <c r="J17" s="15">
        <v>0</v>
      </c>
      <c r="K17" s="10">
        <v>1951</v>
      </c>
      <c r="L17" s="10">
        <v>7492</v>
      </c>
      <c r="M17" s="10">
        <v>14488</v>
      </c>
      <c r="N17" s="11">
        <f t="shared" si="0"/>
        <v>43348</v>
      </c>
      <c r="P17" s="12">
        <f t="shared" si="1"/>
        <v>5.8676939778574008E-2</v>
      </c>
    </row>
    <row r="18" spans="1:17" ht="14.4" x14ac:dyDescent="0.3">
      <c r="A18" s="7" t="s">
        <v>27</v>
      </c>
      <c r="B18" s="13">
        <v>188</v>
      </c>
      <c r="C18" s="9">
        <v>1139</v>
      </c>
      <c r="D18" s="9">
        <v>2610</v>
      </c>
      <c r="E18" s="14">
        <v>234</v>
      </c>
      <c r="F18" s="14">
        <v>45</v>
      </c>
      <c r="G18" s="15">
        <v>2</v>
      </c>
      <c r="H18" s="15">
        <v>2</v>
      </c>
      <c r="I18" s="15">
        <v>0</v>
      </c>
      <c r="J18" s="15">
        <v>2</v>
      </c>
      <c r="K18" s="15">
        <v>0</v>
      </c>
      <c r="L18" s="10">
        <v>4030</v>
      </c>
      <c r="M18" s="10">
        <v>9397</v>
      </c>
      <c r="N18" s="11">
        <f t="shared" si="0"/>
        <v>17649</v>
      </c>
      <c r="P18" s="12">
        <f t="shared" si="1"/>
        <v>2.3890128959860955E-2</v>
      </c>
    </row>
    <row r="19" spans="1:17" ht="14.4" x14ac:dyDescent="0.3">
      <c r="A19" s="16" t="s">
        <v>15</v>
      </c>
      <c r="B19" s="17">
        <v>87222</v>
      </c>
      <c r="C19" s="17">
        <v>77124</v>
      </c>
      <c r="D19" s="17">
        <v>92298</v>
      </c>
      <c r="E19" s="17">
        <v>55555</v>
      </c>
      <c r="F19" s="17">
        <v>41707</v>
      </c>
      <c r="G19" s="18">
        <v>28939</v>
      </c>
      <c r="H19" s="18">
        <v>24653</v>
      </c>
      <c r="I19" s="18">
        <v>26504</v>
      </c>
      <c r="J19" s="18">
        <v>33640</v>
      </c>
      <c r="K19" s="18">
        <v>65130</v>
      </c>
      <c r="L19" s="18">
        <v>95126</v>
      </c>
      <c r="M19" s="18">
        <v>110859</v>
      </c>
      <c r="N19" s="19">
        <f t="shared" si="0"/>
        <v>738757</v>
      </c>
      <c r="P19" s="12">
        <f t="shared" si="1"/>
        <v>1</v>
      </c>
    </row>
    <row r="21" spans="1:17" ht="15.75" customHeight="1" x14ac:dyDescent="0.3"/>
    <row r="22" spans="1:17" ht="15.75" customHeight="1" x14ac:dyDescent="0.3"/>
    <row r="23" spans="1:17" ht="15.75" customHeight="1" x14ac:dyDescent="0.3">
      <c r="Q23" s="2">
        <f>(738.8- 665.7)/665.7</f>
        <v>0.109809223373892</v>
      </c>
    </row>
    <row r="24" spans="1:17" ht="15.75" customHeight="1" x14ac:dyDescent="0.3"/>
    <row r="25" spans="1:17" ht="15.75" customHeight="1" x14ac:dyDescent="0.3"/>
    <row r="26" spans="1:17" ht="15.75" customHeight="1" x14ac:dyDescent="0.3"/>
    <row r="27" spans="1:17" ht="15.75" customHeight="1" x14ac:dyDescent="0.3"/>
    <row r="28" spans="1:17" ht="15.75" customHeight="1" x14ac:dyDescent="0.3"/>
    <row r="29" spans="1:17" ht="15.75" customHeight="1" x14ac:dyDescent="0.3"/>
    <row r="30" spans="1:17" ht="15.75" customHeight="1" x14ac:dyDescent="0.3"/>
    <row r="31" spans="1:17" ht="15.75" customHeight="1" x14ac:dyDescent="0.3"/>
    <row r="32" spans="1:1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55075-884E-4690-A0D4-07887F0AFBAE}">
  <dimension ref="A2:Q1000"/>
  <sheetViews>
    <sheetView tabSelected="1" workbookViewId="0">
      <selection activeCell="M24" sqref="B21:M24"/>
    </sheetView>
  </sheetViews>
  <sheetFormatPr defaultColWidth="14.44140625" defaultRowHeight="14.4" x14ac:dyDescent="0.3"/>
  <cols>
    <col min="1" max="1" width="29.88671875" customWidth="1"/>
    <col min="2" max="13" width="10.6640625" customWidth="1"/>
    <col min="14" max="14" width="11.6640625" customWidth="1"/>
    <col min="15" max="26" width="10.6640625" customWidth="1"/>
  </cols>
  <sheetData>
    <row r="2" spans="1:17" x14ac:dyDescent="0.3">
      <c r="A2" s="1" t="s">
        <v>0</v>
      </c>
    </row>
    <row r="3" spans="1:17" x14ac:dyDescent="0.3">
      <c r="A3" s="2" t="s">
        <v>1</v>
      </c>
    </row>
    <row r="8" spans="1:17" ht="15" thickBot="1" x14ac:dyDescent="0.35">
      <c r="A8" s="3" t="s">
        <v>2</v>
      </c>
      <c r="B8" s="4" t="s">
        <v>3</v>
      </c>
      <c r="C8" s="5" t="s">
        <v>4</v>
      </c>
      <c r="D8" s="5" t="s">
        <v>5</v>
      </c>
      <c r="E8" s="5" t="s">
        <v>6</v>
      </c>
      <c r="F8" s="5" t="s">
        <v>7</v>
      </c>
      <c r="G8" s="6" t="s">
        <v>8</v>
      </c>
      <c r="H8" s="6" t="s">
        <v>9</v>
      </c>
      <c r="I8" s="6" t="s">
        <v>10</v>
      </c>
      <c r="J8" s="6" t="s">
        <v>11</v>
      </c>
      <c r="K8" s="6" t="s">
        <v>12</v>
      </c>
      <c r="L8" s="6" t="s">
        <v>13</v>
      </c>
      <c r="M8" s="6" t="s">
        <v>14</v>
      </c>
      <c r="N8" s="6" t="s">
        <v>15</v>
      </c>
      <c r="P8" s="2" t="s">
        <v>16</v>
      </c>
      <c r="Q8" s="2" t="s">
        <v>17</v>
      </c>
    </row>
    <row r="9" spans="1:17" x14ac:dyDescent="0.3">
      <c r="A9" s="7" t="s">
        <v>18</v>
      </c>
      <c r="B9" s="8">
        <v>55026</v>
      </c>
      <c r="C9" s="9">
        <v>48700</v>
      </c>
      <c r="D9" s="9">
        <v>51729</v>
      </c>
      <c r="E9" s="9">
        <v>45663</v>
      </c>
      <c r="F9" s="9">
        <v>37819</v>
      </c>
      <c r="G9" s="10">
        <v>22446</v>
      </c>
      <c r="H9" s="10">
        <v>24391</v>
      </c>
      <c r="I9" s="10">
        <v>25950</v>
      </c>
      <c r="J9" s="10">
        <v>33040</v>
      </c>
      <c r="K9" s="10">
        <v>48736</v>
      </c>
      <c r="L9" s="10">
        <v>51845</v>
      </c>
      <c r="M9" s="10">
        <v>45903</v>
      </c>
      <c r="N9" s="11">
        <f t="shared" ref="N9:N19" si="0">SUM(B9:M9)</f>
        <v>491248</v>
      </c>
      <c r="P9" s="12">
        <f t="shared" ref="P9:P19" si="1">N9/$N$19</f>
        <v>0.66496561115495356</v>
      </c>
    </row>
    <row r="10" spans="1:17" x14ac:dyDescent="0.3">
      <c r="A10" s="7" t="s">
        <v>19</v>
      </c>
      <c r="B10" s="13">
        <v>353</v>
      </c>
      <c r="C10" s="14">
        <v>363</v>
      </c>
      <c r="D10" s="14">
        <v>353</v>
      </c>
      <c r="E10" s="14">
        <v>257</v>
      </c>
      <c r="F10" s="14">
        <v>344</v>
      </c>
      <c r="G10" s="15">
        <v>308</v>
      </c>
      <c r="H10" s="15">
        <v>242</v>
      </c>
      <c r="I10" s="15">
        <v>288</v>
      </c>
      <c r="J10" s="15">
        <v>105</v>
      </c>
      <c r="K10" s="15">
        <v>0</v>
      </c>
      <c r="L10" s="15">
        <v>0</v>
      </c>
      <c r="M10" s="15">
        <v>0</v>
      </c>
      <c r="N10" s="11">
        <f t="shared" si="0"/>
        <v>2613</v>
      </c>
      <c r="P10" s="12">
        <f t="shared" si="1"/>
        <v>3.5370223226311222E-3</v>
      </c>
    </row>
    <row r="11" spans="1:17" x14ac:dyDescent="0.3">
      <c r="A11" s="7" t="s">
        <v>20</v>
      </c>
      <c r="B11" s="8">
        <v>2736</v>
      </c>
      <c r="C11" s="9">
        <v>3247</v>
      </c>
      <c r="D11" s="9">
        <v>2331</v>
      </c>
      <c r="E11" s="14">
        <v>427</v>
      </c>
      <c r="F11" s="14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0">
        <v>2123</v>
      </c>
      <c r="M11" s="10">
        <v>1765</v>
      </c>
      <c r="N11" s="11">
        <f t="shared" si="0"/>
        <v>12629</v>
      </c>
      <c r="P11" s="12">
        <f t="shared" si="1"/>
        <v>1.7094931080179274E-2</v>
      </c>
    </row>
    <row r="12" spans="1:17" x14ac:dyDescent="0.3">
      <c r="A12" s="7" t="s">
        <v>21</v>
      </c>
      <c r="B12" s="13">
        <v>589</v>
      </c>
      <c r="C12" s="14">
        <v>0</v>
      </c>
      <c r="D12" s="14">
        <v>76</v>
      </c>
      <c r="E12" s="14">
        <v>141</v>
      </c>
      <c r="F12" s="14">
        <v>122</v>
      </c>
      <c r="G12" s="15">
        <v>3</v>
      </c>
      <c r="H12" s="15">
        <v>0</v>
      </c>
      <c r="I12" s="15">
        <v>37</v>
      </c>
      <c r="J12" s="15">
        <v>80</v>
      </c>
      <c r="K12" s="15">
        <v>692</v>
      </c>
      <c r="L12" s="10">
        <v>2357</v>
      </c>
      <c r="M12" s="10">
        <v>2685</v>
      </c>
      <c r="N12" s="11">
        <f t="shared" si="0"/>
        <v>6782</v>
      </c>
      <c r="P12" s="12">
        <f t="shared" si="1"/>
        <v>9.1802852629484389E-3</v>
      </c>
    </row>
    <row r="13" spans="1:17" x14ac:dyDescent="0.3">
      <c r="A13" s="7" t="s">
        <v>22</v>
      </c>
      <c r="B13" s="13">
        <v>133</v>
      </c>
      <c r="C13" s="14">
        <v>441</v>
      </c>
      <c r="D13" s="14">
        <v>296</v>
      </c>
      <c r="E13" s="14">
        <v>262</v>
      </c>
      <c r="F13" s="14">
        <v>99</v>
      </c>
      <c r="G13" s="15">
        <v>224</v>
      </c>
      <c r="H13" s="15">
        <v>0</v>
      </c>
      <c r="I13" s="15">
        <v>1</v>
      </c>
      <c r="J13" s="15">
        <v>68</v>
      </c>
      <c r="K13" s="15">
        <v>108</v>
      </c>
      <c r="L13" s="15">
        <v>91</v>
      </c>
      <c r="M13" s="15">
        <v>81</v>
      </c>
      <c r="N13" s="11">
        <f t="shared" si="0"/>
        <v>1804</v>
      </c>
      <c r="P13" s="12">
        <f t="shared" si="1"/>
        <v>2.4419396364433773E-3</v>
      </c>
    </row>
    <row r="14" spans="1:17" x14ac:dyDescent="0.3">
      <c r="A14" s="7" t="s">
        <v>23</v>
      </c>
      <c r="B14" s="13">
        <v>166</v>
      </c>
      <c r="C14" s="14">
        <v>156</v>
      </c>
      <c r="D14" s="14">
        <v>178</v>
      </c>
      <c r="E14" s="14">
        <v>36</v>
      </c>
      <c r="F14" s="14">
        <v>1</v>
      </c>
      <c r="G14" s="15">
        <v>0</v>
      </c>
      <c r="H14" s="15">
        <v>1</v>
      </c>
      <c r="I14" s="15">
        <v>1</v>
      </c>
      <c r="J14" s="15">
        <v>0</v>
      </c>
      <c r="K14" s="15">
        <v>0</v>
      </c>
      <c r="L14" s="15">
        <v>0</v>
      </c>
      <c r="M14" s="15">
        <v>120</v>
      </c>
      <c r="N14" s="11">
        <f t="shared" si="0"/>
        <v>659</v>
      </c>
      <c r="P14" s="12">
        <f t="shared" si="1"/>
        <v>8.9203892484267494E-4</v>
      </c>
    </row>
    <row r="15" spans="1:17" x14ac:dyDescent="0.3">
      <c r="A15" s="7" t="s">
        <v>24</v>
      </c>
      <c r="B15" s="8">
        <v>22222</v>
      </c>
      <c r="C15" s="9">
        <v>18567</v>
      </c>
      <c r="D15" s="9">
        <v>27280</v>
      </c>
      <c r="E15" s="9">
        <v>7085</v>
      </c>
      <c r="F15" s="9">
        <v>3209</v>
      </c>
      <c r="G15" s="10">
        <v>3800</v>
      </c>
      <c r="H15" s="15">
        <v>17</v>
      </c>
      <c r="I15" s="15">
        <v>225</v>
      </c>
      <c r="J15" s="15">
        <v>345</v>
      </c>
      <c r="K15" s="10">
        <v>12985</v>
      </c>
      <c r="L15" s="10">
        <v>21484</v>
      </c>
      <c r="M15" s="10">
        <v>31900</v>
      </c>
      <c r="N15" s="11">
        <f t="shared" si="0"/>
        <v>149119</v>
      </c>
      <c r="P15" s="12">
        <f t="shared" si="1"/>
        <v>0.20185121765343678</v>
      </c>
    </row>
    <row r="16" spans="1:17" x14ac:dyDescent="0.3">
      <c r="A16" s="7" t="s">
        <v>25</v>
      </c>
      <c r="B16" s="13">
        <v>484</v>
      </c>
      <c r="C16" s="14">
        <v>982</v>
      </c>
      <c r="D16" s="14">
        <v>560</v>
      </c>
      <c r="E16" s="14">
        <v>0</v>
      </c>
      <c r="F16" s="14">
        <v>0</v>
      </c>
      <c r="G16" s="15">
        <v>0</v>
      </c>
      <c r="H16" s="15">
        <v>0</v>
      </c>
      <c r="I16" s="15">
        <v>0</v>
      </c>
      <c r="J16" s="15">
        <v>0</v>
      </c>
      <c r="K16" s="15">
        <v>658</v>
      </c>
      <c r="L16" s="10">
        <v>5704</v>
      </c>
      <c r="M16" s="10">
        <v>4520</v>
      </c>
      <c r="N16" s="11">
        <f t="shared" si="0"/>
        <v>12908</v>
      </c>
      <c r="P16" s="12">
        <f t="shared" si="1"/>
        <v>1.7472592476281103E-2</v>
      </c>
      <c r="Q16" s="12">
        <f>SUM(P16:P18)</f>
        <v>0.10003966121471607</v>
      </c>
    </row>
    <row r="17" spans="1:17" x14ac:dyDescent="0.3">
      <c r="A17" s="7" t="s">
        <v>26</v>
      </c>
      <c r="B17" s="8">
        <v>5325</v>
      </c>
      <c r="C17" s="9">
        <v>3529</v>
      </c>
      <c r="D17" s="9">
        <v>6885</v>
      </c>
      <c r="E17" s="9">
        <v>1450</v>
      </c>
      <c r="F17" s="14">
        <v>69</v>
      </c>
      <c r="G17" s="10">
        <v>2157</v>
      </c>
      <c r="H17" s="15">
        <v>0</v>
      </c>
      <c r="I17" s="15">
        <v>2</v>
      </c>
      <c r="J17" s="15">
        <v>0</v>
      </c>
      <c r="K17" s="10">
        <v>1951</v>
      </c>
      <c r="L17" s="10">
        <v>7492</v>
      </c>
      <c r="M17" s="10">
        <v>14488</v>
      </c>
      <c r="N17" s="11">
        <f t="shared" si="0"/>
        <v>43348</v>
      </c>
      <c r="P17" s="12">
        <f t="shared" si="1"/>
        <v>5.8676939778574008E-2</v>
      </c>
    </row>
    <row r="18" spans="1:17" x14ac:dyDescent="0.3">
      <c r="A18" s="7" t="s">
        <v>27</v>
      </c>
      <c r="B18" s="13">
        <v>188</v>
      </c>
      <c r="C18" s="9">
        <v>1139</v>
      </c>
      <c r="D18" s="9">
        <v>2610</v>
      </c>
      <c r="E18" s="14">
        <v>234</v>
      </c>
      <c r="F18" s="14">
        <v>45</v>
      </c>
      <c r="G18" s="15">
        <v>2</v>
      </c>
      <c r="H18" s="15">
        <v>2</v>
      </c>
      <c r="I18" s="15">
        <v>0</v>
      </c>
      <c r="J18" s="15">
        <v>2</v>
      </c>
      <c r="K18" s="15">
        <v>0</v>
      </c>
      <c r="L18" s="10">
        <v>4030</v>
      </c>
      <c r="M18" s="10">
        <v>9397</v>
      </c>
      <c r="N18" s="11">
        <f t="shared" si="0"/>
        <v>17649</v>
      </c>
      <c r="P18" s="12">
        <f t="shared" si="1"/>
        <v>2.3890128959860955E-2</v>
      </c>
    </row>
    <row r="19" spans="1:17" ht="15" thickBot="1" x14ac:dyDescent="0.35">
      <c r="A19" s="16" t="s">
        <v>15</v>
      </c>
      <c r="B19" s="17">
        <v>87222</v>
      </c>
      <c r="C19" s="17">
        <v>77124</v>
      </c>
      <c r="D19" s="17">
        <v>92298</v>
      </c>
      <c r="E19" s="17">
        <v>55555</v>
      </c>
      <c r="F19" s="17">
        <v>41707</v>
      </c>
      <c r="G19" s="18">
        <v>28939</v>
      </c>
      <c r="H19" s="18">
        <v>24653</v>
      </c>
      <c r="I19" s="18">
        <v>26504</v>
      </c>
      <c r="J19" s="18">
        <v>33640</v>
      </c>
      <c r="K19" s="18">
        <v>65130</v>
      </c>
      <c r="L19" s="18">
        <v>95126</v>
      </c>
      <c r="M19" s="18">
        <v>110859</v>
      </c>
      <c r="N19" s="19">
        <f t="shared" si="0"/>
        <v>738757</v>
      </c>
      <c r="P19" s="12">
        <f t="shared" si="1"/>
        <v>1</v>
      </c>
    </row>
    <row r="21" spans="1:17" ht="15.75" customHeight="1" x14ac:dyDescent="0.3">
      <c r="B21" s="20">
        <f>B9+B13</f>
        <v>55159</v>
      </c>
      <c r="C21" s="20">
        <f t="shared" ref="C21:M21" si="2">C9+C13</f>
        <v>49141</v>
      </c>
      <c r="D21" s="20">
        <f t="shared" si="2"/>
        <v>52025</v>
      </c>
      <c r="E21" s="20">
        <f t="shared" si="2"/>
        <v>45925</v>
      </c>
      <c r="F21" s="20">
        <f t="shared" si="2"/>
        <v>37918</v>
      </c>
      <c r="G21" s="20">
        <f t="shared" si="2"/>
        <v>22670</v>
      </c>
      <c r="H21" s="20">
        <f t="shared" si="2"/>
        <v>24391</v>
      </c>
      <c r="I21" s="20">
        <f t="shared" si="2"/>
        <v>25951</v>
      </c>
      <c r="J21" s="20">
        <f t="shared" si="2"/>
        <v>33108</v>
      </c>
      <c r="K21" s="20">
        <f t="shared" si="2"/>
        <v>48844</v>
      </c>
      <c r="L21" s="20">
        <f t="shared" si="2"/>
        <v>51936</v>
      </c>
      <c r="M21" s="20">
        <f t="shared" si="2"/>
        <v>45984</v>
      </c>
      <c r="O21" s="20">
        <f>SUM(B9:D9)</f>
        <v>155455</v>
      </c>
    </row>
    <row r="22" spans="1:17" ht="15.75" customHeight="1" x14ac:dyDescent="0.3">
      <c r="B22">
        <f>SUM(B10:B12)</f>
        <v>3678</v>
      </c>
      <c r="C22">
        <f t="shared" ref="C22:M22" si="3">SUM(C10:C12)</f>
        <v>3610</v>
      </c>
      <c r="D22">
        <f t="shared" si="3"/>
        <v>2760</v>
      </c>
      <c r="E22">
        <f t="shared" si="3"/>
        <v>825</v>
      </c>
      <c r="F22">
        <f t="shared" si="3"/>
        <v>466</v>
      </c>
      <c r="G22">
        <f t="shared" si="3"/>
        <v>311</v>
      </c>
      <c r="H22">
        <f t="shared" si="3"/>
        <v>242</v>
      </c>
      <c r="I22">
        <f t="shared" si="3"/>
        <v>325</v>
      </c>
      <c r="J22">
        <f t="shared" si="3"/>
        <v>185</v>
      </c>
      <c r="K22">
        <f t="shared" si="3"/>
        <v>692</v>
      </c>
      <c r="L22">
        <f t="shared" si="3"/>
        <v>4480</v>
      </c>
      <c r="M22">
        <f t="shared" si="3"/>
        <v>4450</v>
      </c>
      <c r="O22" s="20">
        <f>SUM(E9:G9)</f>
        <v>105928</v>
      </c>
    </row>
    <row r="23" spans="1:17" ht="15.75" customHeight="1" x14ac:dyDescent="0.3">
      <c r="B23" s="20">
        <f>B14+B15</f>
        <v>22388</v>
      </c>
      <c r="C23" s="20">
        <f t="shared" ref="C23:M23" si="4">C14+C15</f>
        <v>18723</v>
      </c>
      <c r="D23" s="20">
        <f t="shared" si="4"/>
        <v>27458</v>
      </c>
      <c r="E23" s="20">
        <f t="shared" si="4"/>
        <v>7121</v>
      </c>
      <c r="F23" s="20">
        <f t="shared" si="4"/>
        <v>3210</v>
      </c>
      <c r="G23" s="20">
        <f t="shared" si="4"/>
        <v>3800</v>
      </c>
      <c r="H23" s="20">
        <f t="shared" si="4"/>
        <v>18</v>
      </c>
      <c r="I23" s="20">
        <f t="shared" si="4"/>
        <v>226</v>
      </c>
      <c r="J23" s="20">
        <f t="shared" si="4"/>
        <v>345</v>
      </c>
      <c r="K23" s="20">
        <f t="shared" si="4"/>
        <v>12985</v>
      </c>
      <c r="L23" s="20">
        <f t="shared" si="4"/>
        <v>21484</v>
      </c>
      <c r="M23" s="20">
        <f t="shared" si="4"/>
        <v>32020</v>
      </c>
      <c r="O23" s="20">
        <f>SUM(H9:J9)</f>
        <v>83381</v>
      </c>
      <c r="Q23" s="2">
        <f>(738.8- 665.7)/665.7</f>
        <v>0.109809223373892</v>
      </c>
    </row>
    <row r="24" spans="1:17" ht="15.75" customHeight="1" x14ac:dyDescent="0.3">
      <c r="B24" s="20">
        <f>B16+B17+B18</f>
        <v>5997</v>
      </c>
      <c r="C24" s="20">
        <f t="shared" ref="C24:M24" si="5">C16+C17+C18</f>
        <v>5650</v>
      </c>
      <c r="D24" s="20">
        <f t="shared" si="5"/>
        <v>10055</v>
      </c>
      <c r="E24" s="20">
        <f t="shared" si="5"/>
        <v>1684</v>
      </c>
      <c r="F24" s="20">
        <f t="shared" si="5"/>
        <v>114</v>
      </c>
      <c r="G24" s="20">
        <f t="shared" si="5"/>
        <v>2159</v>
      </c>
      <c r="H24" s="20">
        <f t="shared" si="5"/>
        <v>2</v>
      </c>
      <c r="I24" s="20">
        <f t="shared" si="5"/>
        <v>2</v>
      </c>
      <c r="J24" s="20">
        <f t="shared" si="5"/>
        <v>2</v>
      </c>
      <c r="K24" s="20">
        <f t="shared" si="5"/>
        <v>2609</v>
      </c>
      <c r="L24" s="20">
        <f t="shared" si="5"/>
        <v>17226</v>
      </c>
      <c r="M24" s="20">
        <f t="shared" si="5"/>
        <v>28405</v>
      </c>
      <c r="O24" s="20">
        <f>SUM(K9:M9)</f>
        <v>146484</v>
      </c>
    </row>
    <row r="25" spans="1:17" ht="15.75" customHeight="1" x14ac:dyDescent="0.3"/>
    <row r="26" spans="1:17" ht="15.75" customHeight="1" x14ac:dyDescent="0.3"/>
    <row r="27" spans="1:17" ht="15.75" customHeight="1" x14ac:dyDescent="0.3"/>
    <row r="28" spans="1:17" ht="15.75" customHeight="1" x14ac:dyDescent="0.3"/>
    <row r="29" spans="1:17" ht="15.75" customHeight="1" x14ac:dyDescent="0.3"/>
    <row r="30" spans="1:17" ht="15.75" customHeight="1" x14ac:dyDescent="0.3"/>
    <row r="31" spans="1:17" ht="15.75" customHeight="1" x14ac:dyDescent="0.3"/>
    <row r="32" spans="1:1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  <pageSetup paperSize="9" orientation="portrait" r:id="rId1"/>
  <ignoredErrors>
    <ignoredError sqref="B2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Ark1</vt:lpstr>
      <vt:lpstr>kopi til kvartal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Utne Åmund</dc:creator>
  <cp:lastModifiedBy>Yangzhe Chen</cp:lastModifiedBy>
  <dcterms:created xsi:type="dcterms:W3CDTF">2023-01-10T08:19:22Z</dcterms:created>
  <dcterms:modified xsi:type="dcterms:W3CDTF">2026-06-09T08:58:34Z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8afab47-5f18-4dcb-9ef3-cd87045d98ab_Enabled">
    <vt:lpwstr>true</vt:lpwstr>
  </property>
  <property fmtid="{D5CDD505-2E9C-101B-9397-08002B2CF9AE}" pid="3" name="MSIP_Label_f8afab47-5f18-4dcb-9ef3-cd87045d98ab_SetDate">
    <vt:lpwstr>2023-01-10T08:19:22Z</vt:lpwstr>
  </property>
  <property fmtid="{D5CDD505-2E9C-101B-9397-08002B2CF9AE}" pid="4" name="MSIP_Label_f8afab47-5f18-4dcb-9ef3-cd87045d98ab_Method">
    <vt:lpwstr>Standard</vt:lpwstr>
  </property>
  <property fmtid="{D5CDD505-2E9C-101B-9397-08002B2CF9AE}" pid="5" name="MSIP_Label_f8afab47-5f18-4dcb-9ef3-cd87045d98ab_Name">
    <vt:lpwstr>Statkraft Internal - No Label</vt:lpwstr>
  </property>
  <property fmtid="{D5CDD505-2E9C-101B-9397-08002B2CF9AE}" pid="6" name="MSIP_Label_f8afab47-5f18-4dcb-9ef3-cd87045d98ab_SiteId">
    <vt:lpwstr>a40c0d68-338e-44ef-ab17-812ee42d12c7</vt:lpwstr>
  </property>
  <property fmtid="{D5CDD505-2E9C-101B-9397-08002B2CF9AE}" pid="7" name="MSIP_Label_f8afab47-5f18-4dcb-9ef3-cd87045d98ab_ActionId">
    <vt:lpwstr>d345bcfb-d848-40b6-9569-f6b107e890a9</vt:lpwstr>
  </property>
  <property fmtid="{D5CDD505-2E9C-101B-9397-08002B2CF9AE}" pid="8" name="MSIP_Label_f8afab47-5f18-4dcb-9ef3-cd87045d98ab_ContentBits">
    <vt:lpwstr>0</vt:lpwstr>
  </property>
</Properties>
</file>