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YU\Documents\Statkraft Varme\FV Energimix\"/>
    </mc:Choice>
  </mc:AlternateContent>
  <xr:revisionPtr revIDLastSave="0" documentId="13_ncr:1_{B9EF7FB5-3B69-4198-AA0D-5F0A1E645988}" xr6:coauthVersionLast="47" xr6:coauthVersionMax="47" xr10:uidLastSave="{00000000-0000-0000-0000-000000000000}"/>
  <bookViews>
    <workbookView xWindow="28680" yWindow="-120" windowWidth="51840" windowHeight="21120" activeTab="1" xr2:uid="{F36DC037-0863-42B3-97FA-2A2C3A4BDC45}"/>
  </bookViews>
  <sheets>
    <sheet name="Ark1" sheetId="1" r:id="rId1"/>
    <sheet name="ko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2" l="1"/>
  <c r="U7" i="2" a="1"/>
  <c r="U7" i="2" s="1"/>
  <c r="AB5" i="2"/>
  <c r="AB14" i="2" s="1" a="1"/>
  <c r="AB14" i="2" s="1"/>
  <c r="AC5" i="2"/>
  <c r="AC6" i="2" s="1" a="1"/>
  <c r="AC6" i="2" s="1"/>
  <c r="AD5" i="2"/>
  <c r="AD6" i="2" s="1" a="1"/>
  <c r="AD6" i="2" s="1"/>
  <c r="Z5" i="2"/>
  <c r="Z16" i="2" s="1" a="1"/>
  <c r="Z16" i="2" s="1"/>
  <c r="AA5" i="2"/>
  <c r="AA15" i="2" s="1" a="1"/>
  <c r="AA15" i="2" s="1"/>
  <c r="T5" i="2"/>
  <c r="T14" i="2" s="1" a="1"/>
  <c r="T14" i="2" s="1"/>
  <c r="U5" i="2"/>
  <c r="U14" i="2" s="1" a="1"/>
  <c r="U14" i="2" s="1"/>
  <c r="V5" i="2"/>
  <c r="V14" i="2" s="1" a="1"/>
  <c r="V14" i="2" s="1"/>
  <c r="W5" i="2"/>
  <c r="X5" i="2"/>
  <c r="Y5" i="2"/>
  <c r="S5" i="2"/>
  <c r="S6" i="2" s="1" a="1"/>
  <c r="S6" i="2" s="1"/>
  <c r="R16" i="2"/>
  <c r="W16" i="2" s="1" a="1"/>
  <c r="W16" i="2" s="1"/>
  <c r="R7" i="2"/>
  <c r="R8" i="2"/>
  <c r="U8" i="2" s="1" a="1"/>
  <c r="U8" i="2" s="1"/>
  <c r="R9" i="2"/>
  <c r="S9" i="2" s="1" a="1"/>
  <c r="S9" i="2" s="1"/>
  <c r="R10" i="2"/>
  <c r="W10" i="2" s="1" a="1"/>
  <c r="W10" i="2" s="1"/>
  <c r="R11" i="2"/>
  <c r="T11" i="2" s="1" a="1"/>
  <c r="T11" i="2" s="1"/>
  <c r="R12" i="2"/>
  <c r="Y12" i="2" s="1" a="1"/>
  <c r="Y12" i="2" s="1"/>
  <c r="R13" i="2"/>
  <c r="V13" i="2" s="1" a="1"/>
  <c r="V13" i="2" s="1"/>
  <c r="R14" i="2"/>
  <c r="AA14" i="2" s="1" a="1"/>
  <c r="AA14" i="2" s="1"/>
  <c r="R15" i="2"/>
  <c r="Y15" i="2" s="1" a="1"/>
  <c r="Y15" i="2" s="1"/>
  <c r="R6" i="2"/>
  <c r="AA6" i="2" s="1" a="1"/>
  <c r="AA6" i="2" s="1"/>
  <c r="P21" i="2"/>
  <c r="P20" i="2"/>
  <c r="P19" i="2"/>
  <c r="P18" i="2"/>
  <c r="N16" i="2"/>
  <c r="M16" i="2"/>
  <c r="L16" i="2"/>
  <c r="K16" i="2"/>
  <c r="W9" i="2" s="1" a="1"/>
  <c r="W9" i="2" s="1"/>
  <c r="J16" i="2"/>
  <c r="Y8" i="2" s="1" a="1"/>
  <c r="Y8" i="2" s="1"/>
  <c r="I16" i="2"/>
  <c r="H16" i="2"/>
  <c r="G16" i="2"/>
  <c r="F16" i="2"/>
  <c r="E16" i="2"/>
  <c r="D16" i="2"/>
  <c r="C16" i="2"/>
  <c r="W6" i="2" s="1" a="1"/>
  <c r="W6" i="2" s="1"/>
  <c r="O15" i="2"/>
  <c r="O14" i="2"/>
  <c r="O13" i="2"/>
  <c r="O12" i="2"/>
  <c r="O11" i="2"/>
  <c r="O10" i="2"/>
  <c r="O9" i="2"/>
  <c r="O8" i="2"/>
  <c r="O7" i="2"/>
  <c r="O6" i="2"/>
  <c r="Z15" i="2" l="1" a="1"/>
  <c r="Z15" i="2" s="1"/>
  <c r="V16" i="2" a="1"/>
  <c r="V16" i="2" s="1"/>
  <c r="X15" i="2" a="1"/>
  <c r="X15" i="2" s="1"/>
  <c r="AD13" i="2" a="1"/>
  <c r="AD13" i="2" s="1"/>
  <c r="U13" i="2" a="1"/>
  <c r="U13" i="2" s="1"/>
  <c r="AB11" i="2" a="1"/>
  <c r="AB11" i="2" s="1"/>
  <c r="AD10" i="2" a="1"/>
  <c r="AD10" i="2" s="1"/>
  <c r="Z9" i="2" a="1"/>
  <c r="Z9" i="2" s="1"/>
  <c r="AB8" i="2" a="1"/>
  <c r="AB8" i="2" s="1"/>
  <c r="X7" i="2" a="1"/>
  <c r="X7" i="2" s="1"/>
  <c r="Z6" i="2" a="1"/>
  <c r="Z6" i="2" s="1"/>
  <c r="AB6" i="2" a="1"/>
  <c r="AB6" i="2" s="1"/>
  <c r="S15" i="2" a="1"/>
  <c r="S15" i="2" s="1"/>
  <c r="S8" i="2" a="1"/>
  <c r="S8" i="2" s="1"/>
  <c r="W15" i="2" a="1"/>
  <c r="W15" i="2" s="1"/>
  <c r="Z14" i="2" a="1"/>
  <c r="Z14" i="2" s="1"/>
  <c r="AC13" i="2" a="1"/>
  <c r="AC13" i="2" s="1"/>
  <c r="X12" i="2" a="1"/>
  <c r="X12" i="2" s="1"/>
  <c r="AA11" i="2" a="1"/>
  <c r="AA11" i="2" s="1"/>
  <c r="V10" i="2" a="1"/>
  <c r="V10" i="2" s="1"/>
  <c r="Y9" i="2" a="1"/>
  <c r="Y9" i="2" s="1"/>
  <c r="T8" i="2" a="1"/>
  <c r="T8" i="2" s="1"/>
  <c r="W7" i="2" a="1"/>
  <c r="W7" i="2" s="1"/>
  <c r="T16" i="2" a="1"/>
  <c r="T16" i="2" s="1"/>
  <c r="AD7" i="2" a="1"/>
  <c r="AD7" i="2" s="1"/>
  <c r="S7" i="2" a="1"/>
  <c r="S7" i="2" s="1"/>
  <c r="U16" i="2" a="1"/>
  <c r="U16" i="2" s="1"/>
  <c r="V15" i="2" a="1"/>
  <c r="V15" i="2" s="1"/>
  <c r="AB13" i="2" a="1"/>
  <c r="AB13" i="2" s="1"/>
  <c r="T13" i="2" a="1"/>
  <c r="T13" i="2" s="1"/>
  <c r="Z11" i="2" a="1"/>
  <c r="Z11" i="2" s="1"/>
  <c r="AC10" i="2" a="1"/>
  <c r="AC10" i="2" s="1"/>
  <c r="X9" i="2" a="1"/>
  <c r="X9" i="2" s="1"/>
  <c r="AA8" i="2" a="1"/>
  <c r="AA8" i="2" s="1"/>
  <c r="V7" i="2" a="1"/>
  <c r="V7" i="2" s="1"/>
  <c r="Y6" i="2" a="1"/>
  <c r="Y6" i="2" s="1"/>
  <c r="AD16" i="2" a="1"/>
  <c r="AD16" i="2" s="1"/>
  <c r="S13" i="2" a="1"/>
  <c r="S13" i="2" s="1"/>
  <c r="Z8" i="2" a="1"/>
  <c r="Z8" i="2" s="1"/>
  <c r="AC7" i="2" a="1"/>
  <c r="AC7" i="2" s="1"/>
  <c r="X6" i="2" a="1"/>
  <c r="X6" i="2" s="1"/>
  <c r="AA13" i="2" a="1"/>
  <c r="AA13" i="2" s="1"/>
  <c r="AC16" i="2" a="1"/>
  <c r="AC16" i="2" s="1"/>
  <c r="W14" i="2" a="1"/>
  <c r="W14" i="2" s="1"/>
  <c r="Z13" i="2" a="1"/>
  <c r="Z13" i="2" s="1"/>
  <c r="U12" i="2" a="1"/>
  <c r="U12" i="2" s="1"/>
  <c r="X11" i="2" a="1"/>
  <c r="X11" i="2" s="1"/>
  <c r="AD9" i="2" a="1"/>
  <c r="AD9" i="2" s="1"/>
  <c r="V9" i="2" a="1"/>
  <c r="V9" i="2" s="1"/>
  <c r="AB7" i="2" a="1"/>
  <c r="AB7" i="2" s="1"/>
  <c r="T7" i="2" a="1"/>
  <c r="T7" i="2" s="1"/>
  <c r="W12" i="2" a="1"/>
  <c r="W12" i="2" s="1"/>
  <c r="Y14" i="2" a="1"/>
  <c r="Y14" i="2" s="1"/>
  <c r="U10" i="2" a="1"/>
  <c r="U10" i="2" s="1"/>
  <c r="AD15" i="2" a="1"/>
  <c r="AD15" i="2" s="1"/>
  <c r="AD12" i="2" a="1"/>
  <c r="AD12" i="2" s="1"/>
  <c r="V12" i="2" a="1"/>
  <c r="V12" i="2" s="1"/>
  <c r="AB10" i="2" a="1"/>
  <c r="AB10" i="2" s="1"/>
  <c r="T10" i="2" a="1"/>
  <c r="T10" i="2" s="1"/>
  <c r="AB16" i="2" a="1"/>
  <c r="AB16" i="2" s="1"/>
  <c r="V6" i="2" a="1"/>
  <c r="V6" i="2" s="1"/>
  <c r="S14" i="2" a="1"/>
  <c r="S14" i="2" s="1"/>
  <c r="Y11" i="2" a="1"/>
  <c r="Y11" i="2" s="1"/>
  <c r="X14" i="2" a="1"/>
  <c r="X14" i="2" s="1"/>
  <c r="AC15" i="2" a="1"/>
  <c r="AC15" i="2" s="1"/>
  <c r="S12" i="2" a="1"/>
  <c r="S12" i="2" s="1"/>
  <c r="AA16" i="2" a="1"/>
  <c r="AA16" i="2" s="1"/>
  <c r="U6" i="2" a="1"/>
  <c r="U6" i="2" s="1"/>
  <c r="Y16" i="2" a="1"/>
  <c r="Y16" i="2" s="1"/>
  <c r="AC14" i="2" a="1"/>
  <c r="AC14" i="2" s="1"/>
  <c r="AD11" i="2" a="1"/>
  <c r="AD11" i="2" s="1"/>
  <c r="Y10" i="2" a="1"/>
  <c r="Y10" i="2" s="1"/>
  <c r="W8" i="2" a="1"/>
  <c r="W8" i="2" s="1"/>
  <c r="S10" i="2" a="1"/>
  <c r="S10" i="2" s="1"/>
  <c r="X16" i="2" a="1"/>
  <c r="X16" i="2" s="1"/>
  <c r="X13" i="2" a="1"/>
  <c r="X13" i="2" s="1"/>
  <c r="Z12" i="2" a="1"/>
  <c r="Z12" i="2" s="1"/>
  <c r="V11" i="2" a="1"/>
  <c r="V11" i="2" s="1"/>
  <c r="X10" i="2" a="1"/>
  <c r="X10" i="2" s="1"/>
  <c r="T9" i="2" a="1"/>
  <c r="T9" i="2" s="1"/>
  <c r="V8" i="2" a="1"/>
  <c r="V8" i="2" s="1"/>
  <c r="T6" i="2" a="1"/>
  <c r="T6" i="2" s="1"/>
  <c r="U15" i="2" a="1"/>
  <c r="U15" i="2" s="1"/>
  <c r="AB15" i="2" a="1"/>
  <c r="AB15" i="2" s="1"/>
  <c r="T15" i="2" a="1"/>
  <c r="T15" i="2" s="1"/>
  <c r="AC12" i="2" a="1"/>
  <c r="AC12" i="2" s="1"/>
  <c r="T12" i="2" a="1"/>
  <c r="T12" i="2" s="1"/>
  <c r="AA10" i="2" a="1"/>
  <c r="AA10" i="2" s="1"/>
  <c r="AC9" i="2" a="1"/>
  <c r="AC9" i="2" s="1"/>
  <c r="AA7" i="2" a="1"/>
  <c r="AA7" i="2" s="1"/>
  <c r="S11" i="2" a="1"/>
  <c r="S11" i="2" s="1"/>
  <c r="AD14" i="2" a="1"/>
  <c r="AD14" i="2" s="1"/>
  <c r="AB12" i="2" a="1"/>
  <c r="AB12" i="2" s="1"/>
  <c r="W11" i="2" a="1"/>
  <c r="W11" i="2" s="1"/>
  <c r="Z10" i="2" a="1"/>
  <c r="Z10" i="2" s="1"/>
  <c r="U9" i="2" a="1"/>
  <c r="U9" i="2" s="1"/>
  <c r="X8" i="2" a="1"/>
  <c r="X8" i="2" s="1"/>
  <c r="AA12" i="2" a="1"/>
  <c r="AA12" i="2" s="1"/>
  <c r="AB9" i="2" a="1"/>
  <c r="AB9" i="2" s="1"/>
  <c r="AE8" i="2" a="1"/>
  <c r="AE8" i="2" s="1"/>
  <c r="Y13" i="2" a="1"/>
  <c r="Y13" i="2" s="1"/>
  <c r="Z7" i="2" a="1"/>
  <c r="Z7" i="2" s="1"/>
  <c r="O16" i="2"/>
  <c r="P29" i="2" s="1"/>
  <c r="W13" i="2" a="1"/>
  <c r="W13" i="2" s="1"/>
  <c r="AC11" i="2" a="1"/>
  <c r="AC11" i="2" s="1"/>
  <c r="U11" i="2" a="1"/>
  <c r="U11" i="2" s="1"/>
  <c r="AA9" i="2" a="1"/>
  <c r="AA9" i="2" s="1"/>
  <c r="AD8" i="2" a="1"/>
  <c r="AD8" i="2" s="1"/>
  <c r="Y7" i="2" a="1"/>
  <c r="Y7" i="2" s="1"/>
  <c r="S16" i="2" a="1"/>
  <c r="S16" i="2" s="1"/>
  <c r="AC8" i="2" a="1"/>
  <c r="AC8" i="2" s="1"/>
  <c r="C16" i="1"/>
  <c r="D16" i="1"/>
  <c r="E16" i="1"/>
  <c r="F16" i="1"/>
  <c r="G16" i="1"/>
  <c r="H16" i="1"/>
  <c r="I16" i="1"/>
  <c r="J16" i="1"/>
  <c r="K16" i="1"/>
  <c r="L16" i="1"/>
  <c r="M16" i="1"/>
  <c r="B16" i="1"/>
  <c r="N7" i="1"/>
  <c r="N8" i="1"/>
  <c r="N9" i="1"/>
  <c r="N10" i="1"/>
  <c r="N11" i="1"/>
  <c r="N12" i="1"/>
  <c r="N13" i="1"/>
  <c r="N14" i="1"/>
  <c r="N15" i="1"/>
  <c r="N6" i="1"/>
  <c r="AE12" i="2" l="1" a="1"/>
  <c r="AE12" i="2" s="1"/>
  <c r="AE14" i="2" a="1"/>
  <c r="AE14" i="2" s="1"/>
  <c r="AE11" i="2" a="1"/>
  <c r="AE11" i="2" s="1"/>
  <c r="AE13" i="2" a="1"/>
  <c r="AE13" i="2" s="1"/>
  <c r="AE9" i="2" a="1"/>
  <c r="AE9" i="2" s="1"/>
  <c r="AE10" i="2" a="1"/>
  <c r="AE10" i="2" s="1"/>
  <c r="AE16" i="2" a="1"/>
  <c r="AE16" i="2" s="1"/>
  <c r="AE6" i="2" a="1"/>
  <c r="AE6" i="2" s="1"/>
  <c r="AE7" i="2" a="1"/>
  <c r="AE7" i="2" s="1"/>
  <c r="AE15" i="2" a="1"/>
  <c r="AE15" i="2" s="1"/>
  <c r="N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<sst xmlns="http://schemas.openxmlformats.org/spreadsheetml/2006/main" count="65" uniqueCount="34">
  <si>
    <t>Oppsummering (MWh)</t>
  </si>
  <si>
    <t>Jan</t>
  </si>
  <si>
    <t>Feb</t>
  </si>
  <si>
    <t>Mar</t>
  </si>
  <si>
    <t>Apr</t>
  </si>
  <si>
    <t>Mai</t>
  </si>
  <si>
    <t>Juni</t>
  </si>
  <si>
    <t>Jul</t>
  </si>
  <si>
    <t>Aug</t>
  </si>
  <si>
    <t>Sep</t>
  </si>
  <si>
    <t>Okt</t>
  </si>
  <si>
    <t>Nov</t>
  </si>
  <si>
    <t>Des</t>
  </si>
  <si>
    <t>Sum</t>
  </si>
  <si>
    <t>Biogass</t>
  </si>
  <si>
    <t>Bioolje</t>
  </si>
  <si>
    <t>Spillvarme (Rockwool)</t>
  </si>
  <si>
    <t>Varmepumpe</t>
  </si>
  <si>
    <t>LNG</t>
  </si>
  <si>
    <t>LPG</t>
  </si>
  <si>
    <t>Oljekjeler</t>
  </si>
  <si>
    <t>Energimiks MWh</t>
  </si>
  <si>
    <t>Fjernvarme Trondheim 2024</t>
  </si>
  <si>
    <t>Spillvarme (Avfallsforbrenning)</t>
  </si>
  <si>
    <t>Flis/Briketter</t>
  </si>
  <si>
    <t>Elektrisitet</t>
  </si>
  <si>
    <t>Waste incineration</t>
  </si>
  <si>
    <t>Biogas</t>
  </si>
  <si>
    <t>Wood</t>
  </si>
  <si>
    <t>Bio oil</t>
  </si>
  <si>
    <t>Industrial waste heat</t>
  </si>
  <si>
    <t>Heat pump</t>
  </si>
  <si>
    <t>Electricity</t>
  </si>
  <si>
    <t>Fossil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</si>
</sst>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/>
    <xf numFmtId="0" fontId="1" fillId="0" borderId="0" xfId="0" applyFont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4" fillId="0" borderId="8" xfId="0" applyFont="1" applyBorder="1"/>
    <xf numFmtId="0" fontId="2" fillId="0" borderId="9" xfId="0" applyFont="1" applyBorder="1" applyAlignment="1">
      <alignment horizontal="center"/>
    </xf>
    <xf numFmtId="3" fontId="3" fillId="2" borderId="8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>
                <a:solidFill>
                  <a:sysClr val="windowText" lastClr="000000"/>
                </a:solidFill>
              </a:rPr>
              <a:t>Månedlig</a:t>
            </a:r>
            <a:r>
              <a:rPr lang="nb-NO" sz="1800" baseline="0">
                <a:solidFill>
                  <a:sysClr val="windowText" lastClr="000000"/>
                </a:solidFill>
              </a:rPr>
              <a:t> fjernvarme produksjon miks - 2024 </a:t>
            </a:r>
            <a:endParaRPr lang="nb-NO" sz="18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214919887195651"/>
          <c:y val="0.10014858927614546"/>
          <c:w val="0.86275617453395925"/>
          <c:h val="0.64962018482771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kopi!$B$6</c:f>
              <c:strCache>
                <c:ptCount val="1"/>
                <c:pt idx="0">
                  <c:v>Spillvarme (Avfallsforbrenning)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kopi!$C$6:$N$6</c:f>
              <c:numCache>
                <c:formatCode>#,##0</c:formatCode>
                <c:ptCount val="12"/>
                <c:pt idx="0">
                  <c:v>51808</c:v>
                </c:pt>
                <c:pt idx="1">
                  <c:v>44479</c:v>
                </c:pt>
                <c:pt idx="2">
                  <c:v>52378</c:v>
                </c:pt>
                <c:pt idx="3">
                  <c:v>47031</c:v>
                </c:pt>
                <c:pt idx="4">
                  <c:v>28833</c:v>
                </c:pt>
                <c:pt idx="5">
                  <c:v>21565</c:v>
                </c:pt>
                <c:pt idx="6">
                  <c:v>25471</c:v>
                </c:pt>
                <c:pt idx="7">
                  <c:v>27133</c:v>
                </c:pt>
                <c:pt idx="8">
                  <c:v>34081</c:v>
                </c:pt>
                <c:pt idx="9">
                  <c:v>43736</c:v>
                </c:pt>
                <c:pt idx="10">
                  <c:v>46351</c:v>
                </c:pt>
                <c:pt idx="11">
                  <c:v>52017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8-4E67-97EE-773785D34A4E}"/>
            </c:ext>
          </c:extLst>
        </c:ser>
        <c:ser>
          <c:idx val="1"/>
          <c:order val="1"/>
          <c:tx>
            <c:strRef>
              <c:f>kopi!$B$7</c:f>
              <c:strCache>
                <c:ptCount val="1"/>
                <c:pt idx="0">
                  <c:v>Biogass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kopi!$C$7:$N$7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297</c:v>
                </c:pt>
                <c:pt idx="3">
                  <c:v>258</c:v>
                </c:pt>
                <c:pt idx="4">
                  <c:v>362</c:v>
                </c:pt>
                <c:pt idx="5">
                  <c:v>190</c:v>
                </c:pt>
                <c:pt idx="6">
                  <c:v>70</c:v>
                </c:pt>
                <c:pt idx="7">
                  <c:v>209</c:v>
                </c:pt>
                <c:pt idx="8">
                  <c:v>231</c:v>
                </c:pt>
                <c:pt idx="9">
                  <c:v>353</c:v>
                </c:pt>
                <c:pt idx="10">
                  <c:v>251</c:v>
                </c:pt>
                <c:pt idx="1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8-4E67-97EE-773785D34A4E}"/>
            </c:ext>
          </c:extLst>
        </c:ser>
        <c:ser>
          <c:idx val="2"/>
          <c:order val="2"/>
          <c:tx>
            <c:strRef>
              <c:f>kopi!$B$8</c:f>
              <c:strCache>
                <c:ptCount val="1"/>
                <c:pt idx="0">
                  <c:v>Flis/Briketter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kopi!$C$8:$N$8</c:f>
              <c:numCache>
                <c:formatCode>#,##0</c:formatCode>
                <c:ptCount val="12"/>
                <c:pt idx="0" formatCode="General">
                  <c:v>972</c:v>
                </c:pt>
                <c:pt idx="1">
                  <c:v>2898</c:v>
                </c:pt>
                <c:pt idx="2" formatCode="General">
                  <c:v>431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E8-4E67-97EE-773785D34A4E}"/>
            </c:ext>
          </c:extLst>
        </c:ser>
        <c:ser>
          <c:idx val="3"/>
          <c:order val="3"/>
          <c:tx>
            <c:strRef>
              <c:f>kopi!$B$9</c:f>
              <c:strCache>
                <c:ptCount val="1"/>
                <c:pt idx="0">
                  <c:v>Bioolje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kopi!$C$9:$N$9</c:f>
              <c:numCache>
                <c:formatCode>#,##0</c:formatCode>
                <c:ptCount val="12"/>
                <c:pt idx="0">
                  <c:v>1651</c:v>
                </c:pt>
                <c:pt idx="1">
                  <c:v>1171</c:v>
                </c:pt>
                <c:pt idx="2" formatCode="General">
                  <c:v>74</c:v>
                </c:pt>
                <c:pt idx="3" formatCode="General">
                  <c:v>200</c:v>
                </c:pt>
                <c:pt idx="4" formatCode="General">
                  <c:v>49</c:v>
                </c:pt>
                <c:pt idx="5" formatCode="General">
                  <c:v>118</c:v>
                </c:pt>
                <c:pt idx="6" formatCode="General">
                  <c:v>3</c:v>
                </c:pt>
                <c:pt idx="7" formatCode="General">
                  <c:v>5</c:v>
                </c:pt>
                <c:pt idx="8" formatCode="General">
                  <c:v>40</c:v>
                </c:pt>
                <c:pt idx="9" formatCode="General">
                  <c:v>122</c:v>
                </c:pt>
                <c:pt idx="10" formatCode="General">
                  <c:v>567</c:v>
                </c:pt>
                <c:pt idx="11" formatCode="General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E8-4E67-97EE-773785D34A4E}"/>
            </c:ext>
          </c:extLst>
        </c:ser>
        <c:ser>
          <c:idx val="4"/>
          <c:order val="4"/>
          <c:tx>
            <c:strRef>
              <c:f>kopi!$B$10</c:f>
              <c:strCache>
                <c:ptCount val="1"/>
                <c:pt idx="0">
                  <c:v>Spillvarme (Rockwool)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kopi!$C$10:$N$10</c:f>
              <c:numCache>
                <c:formatCode>General</c:formatCode>
                <c:ptCount val="12"/>
                <c:pt idx="0">
                  <c:v>341</c:v>
                </c:pt>
                <c:pt idx="1">
                  <c:v>511</c:v>
                </c:pt>
                <c:pt idx="2">
                  <c:v>168</c:v>
                </c:pt>
                <c:pt idx="3">
                  <c:v>146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E8-4E67-97EE-773785D34A4E}"/>
            </c:ext>
          </c:extLst>
        </c:ser>
        <c:ser>
          <c:idx val="5"/>
          <c:order val="5"/>
          <c:tx>
            <c:strRef>
              <c:f>kopi!$B$11</c:f>
              <c:strCache>
                <c:ptCount val="1"/>
                <c:pt idx="0">
                  <c:v>Varmepumpe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kopi!$C$11:$N$11</c:f>
              <c:numCache>
                <c:formatCode>General</c:formatCode>
                <c:ptCount val="12"/>
                <c:pt idx="0">
                  <c:v>146</c:v>
                </c:pt>
                <c:pt idx="1">
                  <c:v>133</c:v>
                </c:pt>
                <c:pt idx="2">
                  <c:v>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215</c:v>
                </c:pt>
                <c:pt idx="8">
                  <c:v>259</c:v>
                </c:pt>
                <c:pt idx="9">
                  <c:v>221</c:v>
                </c:pt>
                <c:pt idx="10">
                  <c:v>179</c:v>
                </c:pt>
                <c:pt idx="11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E8-4E67-97EE-773785D34A4E}"/>
            </c:ext>
          </c:extLst>
        </c:ser>
        <c:ser>
          <c:idx val="6"/>
          <c:order val="6"/>
          <c:tx>
            <c:strRef>
              <c:f>kopi!$B$12</c:f>
              <c:strCache>
                <c:ptCount val="1"/>
                <c:pt idx="0">
                  <c:v>Elektrisitet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kopi!$C$12:$N$12</c:f>
              <c:numCache>
                <c:formatCode>#,##0</c:formatCode>
                <c:ptCount val="12"/>
                <c:pt idx="0">
                  <c:v>29113</c:v>
                </c:pt>
                <c:pt idx="1">
                  <c:v>26563</c:v>
                </c:pt>
                <c:pt idx="2">
                  <c:v>12034</c:v>
                </c:pt>
                <c:pt idx="3">
                  <c:v>8843</c:v>
                </c:pt>
                <c:pt idx="4" formatCode="General">
                  <c:v>79</c:v>
                </c:pt>
                <c:pt idx="5">
                  <c:v>4617</c:v>
                </c:pt>
                <c:pt idx="6" formatCode="General">
                  <c:v>15</c:v>
                </c:pt>
                <c:pt idx="7" formatCode="General">
                  <c:v>17</c:v>
                </c:pt>
                <c:pt idx="8">
                  <c:v>2191</c:v>
                </c:pt>
                <c:pt idx="9">
                  <c:v>7425</c:v>
                </c:pt>
                <c:pt idx="10">
                  <c:v>20897</c:v>
                </c:pt>
                <c:pt idx="11">
                  <c:v>22508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E8-4E67-97EE-773785D34A4E}"/>
            </c:ext>
          </c:extLst>
        </c:ser>
        <c:ser>
          <c:idx val="7"/>
          <c:order val="7"/>
          <c:tx>
            <c:strRef>
              <c:f>kopi!$B$13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kopi!$C$13:$N$13</c:f>
              <c:numCache>
                <c:formatCode>#,##0</c:formatCode>
                <c:ptCount val="12"/>
                <c:pt idx="0">
                  <c:v>3170</c:v>
                </c:pt>
                <c:pt idx="1">
                  <c:v>1846</c:v>
                </c:pt>
                <c:pt idx="2" formatCode="General">
                  <c:v>601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E8-4E67-97EE-773785D34A4E}"/>
            </c:ext>
          </c:extLst>
        </c:ser>
        <c:ser>
          <c:idx val="8"/>
          <c:order val="8"/>
          <c:tx>
            <c:strRef>
              <c:f>kopi!$B$14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kopi!$C$14:$N$14</c:f>
              <c:numCache>
                <c:formatCode>#,##0</c:formatCode>
                <c:ptCount val="12"/>
                <c:pt idx="0">
                  <c:v>10505</c:v>
                </c:pt>
                <c:pt idx="1">
                  <c:v>7151</c:v>
                </c:pt>
                <c:pt idx="2">
                  <c:v>1643</c:v>
                </c:pt>
                <c:pt idx="3" formatCode="General">
                  <c:v>917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48</c:v>
                </c:pt>
                <c:pt idx="7" formatCode="General">
                  <c:v>28</c:v>
                </c:pt>
                <c:pt idx="8" formatCode="General">
                  <c:v>0</c:v>
                </c:pt>
                <c:pt idx="9">
                  <c:v>1322</c:v>
                </c:pt>
                <c:pt idx="10">
                  <c:v>4593</c:v>
                </c:pt>
                <c:pt idx="11">
                  <c:v>5012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E8-4E67-97EE-773785D34A4E}"/>
            </c:ext>
          </c:extLst>
        </c:ser>
        <c:ser>
          <c:idx val="9"/>
          <c:order val="9"/>
          <c:tx>
            <c:strRef>
              <c:f>kopi!$B$15</c:f>
              <c:strCache>
                <c:ptCount val="1"/>
                <c:pt idx="0">
                  <c:v>Oljekjeler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kopi!$C$15:$N$15</c:f>
              <c:numCache>
                <c:formatCode>#,##0</c:formatCode>
                <c:ptCount val="12"/>
                <c:pt idx="0">
                  <c:v>3957</c:v>
                </c:pt>
                <c:pt idx="1">
                  <c:v>2986</c:v>
                </c:pt>
                <c:pt idx="2" formatCode="General">
                  <c:v>23</c:v>
                </c:pt>
                <c:pt idx="3" formatCode="General">
                  <c:v>13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7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75</c:v>
                </c:pt>
                <c:pt idx="10">
                  <c:v>1578</c:v>
                </c:pt>
                <c:pt idx="11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E8-4E67-97EE-773785D34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41594432"/>
        <c:axId val="241578112"/>
      </c:barChart>
      <c:catAx>
        <c:axId val="2415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78112"/>
        <c:crosses val="autoZero"/>
        <c:auto val="1"/>
        <c:lblAlgn val="ctr"/>
        <c:lblOffset val="100"/>
        <c:noMultiLvlLbl val="0"/>
      </c:catAx>
      <c:valAx>
        <c:axId val="2415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600">
                    <a:solidFill>
                      <a:sysClr val="windowText" lastClr="000000"/>
                    </a:solidFill>
                  </a:rPr>
                  <a:t>Produksjon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929559450186296E-2"/>
          <c:y val="0.82091221940068138"/>
          <c:w val="0.97949985381010984"/>
          <c:h val="0.17776326329589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>
                <a:solidFill>
                  <a:sysClr val="windowText" lastClr="000000"/>
                </a:solidFill>
              </a:rPr>
              <a:t>Månedlig</a:t>
            </a:r>
            <a:r>
              <a:rPr lang="nb-NO" sz="1800" baseline="0">
                <a:solidFill>
                  <a:sysClr val="windowText" lastClr="000000"/>
                </a:solidFill>
              </a:rPr>
              <a:t> fjernvarme produksjon miks - 2024</a:t>
            </a:r>
            <a:endParaRPr lang="nb-NO" sz="18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9.2137946117052644E-2"/>
          <c:y val="0.10021813574138083"/>
          <c:w val="0.89211359631867126"/>
          <c:h val="0.651691645590661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kopi!$R$6</c:f>
              <c:strCache>
                <c:ptCount val="1"/>
                <c:pt idx="0">
                  <c:v>Spillvarme (Avfallsforbrenning)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kopi!$S$6:$AD$6</c:f>
              <c:numCache>
                <c:formatCode>0.0</c:formatCode>
                <c:ptCount val="12"/>
                <c:pt idx="0">
                  <c:v>50.960526445216061</c:v>
                </c:pt>
                <c:pt idx="1">
                  <c:v>50.693518423542017</c:v>
                </c:pt>
                <c:pt idx="2">
                  <c:v>77.372370597967389</c:v>
                </c:pt>
                <c:pt idx="3">
                  <c:v>81.924122073578602</c:v>
                </c:pt>
                <c:pt idx="4">
                  <c:v>98.288733594682114</c:v>
                </c:pt>
                <c:pt idx="5">
                  <c:v>81.408078520196298</c:v>
                </c:pt>
                <c:pt idx="6">
                  <c:v>99.441711563988449</c:v>
                </c:pt>
                <c:pt idx="7">
                  <c:v>98.28304415546782</c:v>
                </c:pt>
                <c:pt idx="8">
                  <c:v>92.606380088038691</c:v>
                </c:pt>
                <c:pt idx="9">
                  <c:v>82.127164156683065</c:v>
                </c:pt>
                <c:pt idx="10">
                  <c:v>62.286336271769514</c:v>
                </c:pt>
                <c:pt idx="11">
                  <c:v>62.723984082961536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F-44A8-9D4F-1AF39852ECAE}"/>
            </c:ext>
          </c:extLst>
        </c:ser>
        <c:ser>
          <c:idx val="1"/>
          <c:order val="1"/>
          <c:tx>
            <c:strRef>
              <c:f>kopi!$R$7</c:f>
              <c:strCache>
                <c:ptCount val="1"/>
                <c:pt idx="0">
                  <c:v>Biogass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kopi!$S$7:$AD$7</c:f>
              <c:numCache>
                <c:formatCode>0.0</c:formatCode>
                <c:ptCount val="12"/>
                <c:pt idx="0">
                  <c:v>0</c:v>
                </c:pt>
                <c:pt idx="1">
                  <c:v>3.4191541012753447E-3</c:v>
                </c:pt>
                <c:pt idx="2">
                  <c:v>0.4387260694871189</c:v>
                </c:pt>
                <c:pt idx="3">
                  <c:v>0.4494147157190635</c:v>
                </c:pt>
                <c:pt idx="4">
                  <c:v>1.2340207942730526</c:v>
                </c:pt>
                <c:pt idx="5">
                  <c:v>0.71725179312948284</c:v>
                </c:pt>
                <c:pt idx="6">
                  <c:v>0.27328804560006242</c:v>
                </c:pt>
                <c:pt idx="7">
                  <c:v>0.75705437026841016</c:v>
                </c:pt>
                <c:pt idx="8">
                  <c:v>0.62768327808271296</c:v>
                </c:pt>
                <c:pt idx="9">
                  <c:v>0.66286100574604723</c:v>
                </c:pt>
                <c:pt idx="10">
                  <c:v>0.33729305525693398</c:v>
                </c:pt>
                <c:pt idx="11">
                  <c:v>0.28337151814783557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F-44A8-9D4F-1AF39852ECAE}"/>
            </c:ext>
          </c:extLst>
        </c:ser>
        <c:ser>
          <c:idx val="2"/>
          <c:order val="2"/>
          <c:tx>
            <c:strRef>
              <c:f>kopi!$R$8</c:f>
              <c:strCache>
                <c:ptCount val="1"/>
                <c:pt idx="0">
                  <c:v>Flis/Briketter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kopi!$S$8:$AD$8</c:f>
              <c:numCache>
                <c:formatCode>0.0</c:formatCode>
                <c:ptCount val="12"/>
                <c:pt idx="0">
                  <c:v>0.95610005606759585</c:v>
                </c:pt>
                <c:pt idx="1">
                  <c:v>3.3029028618319827</c:v>
                </c:pt>
                <c:pt idx="2">
                  <c:v>0.63666981800992672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FF-44A8-9D4F-1AF39852ECAE}"/>
            </c:ext>
          </c:extLst>
        </c:ser>
        <c:ser>
          <c:idx val="3"/>
          <c:order val="3"/>
          <c:tx>
            <c:strRef>
              <c:f>kopi!$R$9</c:f>
              <c:strCache>
                <c:ptCount val="1"/>
                <c:pt idx="0">
                  <c:v>Bioolje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kopi!$S$9:$AD$9</c:f>
              <c:numCache>
                <c:formatCode>0.0</c:formatCode>
                <c:ptCount val="12"/>
                <c:pt idx="0">
                  <c:v>1.623992996468725</c:v>
                </c:pt>
                <c:pt idx="1">
                  <c:v>1.3346098175311427</c:v>
                </c:pt>
                <c:pt idx="2">
                  <c:v>0.1093122193334909</c:v>
                </c:pt>
                <c:pt idx="3">
                  <c:v>0.34838350055741363</c:v>
                </c:pt>
                <c:pt idx="4">
                  <c:v>0.16703596386568945</c:v>
                </c:pt>
                <c:pt idx="5">
                  <c:v>0.44545111362778411</c:v>
                </c:pt>
                <c:pt idx="6">
                  <c:v>1.1712344811431248E-2</c:v>
                </c:pt>
                <c:pt idx="7">
                  <c:v>1.81113485710146E-2</c:v>
                </c:pt>
                <c:pt idx="8">
                  <c:v>0.10868974512254767</c:v>
                </c:pt>
                <c:pt idx="9">
                  <c:v>0.22909077252412963</c:v>
                </c:pt>
                <c:pt idx="10">
                  <c:v>0.76193291765211779</c:v>
                </c:pt>
                <c:pt idx="11">
                  <c:v>1.01410828409502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F-44A8-9D4F-1AF39852ECAE}"/>
            </c:ext>
          </c:extLst>
        </c:ser>
        <c:ser>
          <c:idx val="4"/>
          <c:order val="4"/>
          <c:tx>
            <c:strRef>
              <c:f>kopi!$R$10</c:f>
              <c:strCache>
                <c:ptCount val="1"/>
                <c:pt idx="0">
                  <c:v>Spillvarme (Rockwool)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kopi!$S$10:$AD$10</c:f>
              <c:numCache>
                <c:formatCode>0.0</c:formatCode>
                <c:ptCount val="12"/>
                <c:pt idx="0">
                  <c:v>0.33542193325005165</c:v>
                </c:pt>
                <c:pt idx="1">
                  <c:v>0.582395915250567</c:v>
                </c:pt>
                <c:pt idx="2">
                  <c:v>0.24816828173008743</c:v>
                </c:pt>
                <c:pt idx="3">
                  <c:v>0.25431995540691194</c:v>
                </c:pt>
                <c:pt idx="4">
                  <c:v>3.4088972217487641E-2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3.8586759918003137E-2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FF-44A8-9D4F-1AF39852ECAE}"/>
            </c:ext>
          </c:extLst>
        </c:ser>
        <c:ser>
          <c:idx val="5"/>
          <c:order val="5"/>
          <c:tx>
            <c:strRef>
              <c:f>kopi!$R$11</c:f>
              <c:strCache>
                <c:ptCount val="1"/>
                <c:pt idx="0">
                  <c:v>Varmepumpe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kopi!$S$11:$AD$11</c:f>
              <c:numCache>
                <c:formatCode>0.0</c:formatCode>
                <c:ptCount val="12"/>
                <c:pt idx="0">
                  <c:v>0.14361173681673767</c:v>
                </c:pt>
                <c:pt idx="1">
                  <c:v>0.1515824984898736</c:v>
                </c:pt>
                <c:pt idx="2">
                  <c:v>6.9428031198298282E-2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0.77878798855362774</c:v>
                </c:pt>
                <c:pt idx="8">
                  <c:v>0.70376609966849635</c:v>
                </c:pt>
                <c:pt idx="9">
                  <c:v>0.4149923010478086</c:v>
                </c:pt>
                <c:pt idx="10">
                  <c:v>0.24053966888841111</c:v>
                </c:pt>
                <c:pt idx="11">
                  <c:v>0.23031472326058119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FF-44A8-9D4F-1AF39852ECAE}"/>
            </c:ext>
          </c:extLst>
        </c:ser>
        <c:ser>
          <c:idx val="6"/>
          <c:order val="6"/>
          <c:tx>
            <c:strRef>
              <c:f>kopi!$R$12</c:f>
              <c:strCache>
                <c:ptCount val="1"/>
                <c:pt idx="0">
                  <c:v>Elektrisitet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kopi!$S$12:$AD$12</c:f>
              <c:numCache>
                <c:formatCode>0.0</c:formatCode>
                <c:ptCount val="12"/>
                <c:pt idx="0">
                  <c:v>28.636770506477284</c:v>
                </c:pt>
                <c:pt idx="1">
                  <c:v>30.274330130725659</c:v>
                </c:pt>
                <c:pt idx="2">
                  <c:v>17.77653037107067</c:v>
                </c:pt>
                <c:pt idx="3">
                  <c:v>15.403776477146042</c:v>
                </c:pt>
                <c:pt idx="4">
                  <c:v>0.26930288051815238</c:v>
                </c:pt>
                <c:pt idx="5">
                  <c:v>17.42921857304643</c:v>
                </c:pt>
                <c:pt idx="6">
                  <c:v>5.8561724057156241E-2</c:v>
                </c:pt>
                <c:pt idx="7">
                  <c:v>6.1578585141449628E-2</c:v>
                </c:pt>
                <c:pt idx="8">
                  <c:v>5.953480789087549</c:v>
                </c:pt>
                <c:pt idx="9">
                  <c:v>13.942614639275924</c:v>
                </c:pt>
                <c:pt idx="10">
                  <c:v>28.081326596430877</c:v>
                </c:pt>
                <c:pt idx="11">
                  <c:v>27.140962257325459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FF-44A8-9D4F-1AF39852ECAE}"/>
            </c:ext>
          </c:extLst>
        </c:ser>
        <c:ser>
          <c:idx val="7"/>
          <c:order val="7"/>
          <c:tx>
            <c:strRef>
              <c:f>kopi!$R$13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kopi!$S$13:$AD$13</c:f>
              <c:numCache>
                <c:formatCode>0.0</c:formatCode>
                <c:ptCount val="12"/>
                <c:pt idx="0">
                  <c:v>3.1181452445825917</c:v>
                </c:pt>
                <c:pt idx="1">
                  <c:v>2.1039194903180953</c:v>
                </c:pt>
                <c:pt idx="2">
                  <c:v>0.88779248404632483</c:v>
                </c:pt>
                <c:pt idx="3">
                  <c:v>0</c:v>
                </c:pt>
                <c:pt idx="4">
                  <c:v>3.4088972217487645E-3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FF-44A8-9D4F-1AF39852ECAE}"/>
            </c:ext>
          </c:extLst>
        </c:ser>
        <c:ser>
          <c:idx val="8"/>
          <c:order val="8"/>
          <c:tx>
            <c:strRef>
              <c:f>kopi!$R$14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kopi!$S$14:$AD$14</c:f>
              <c:numCache>
                <c:formatCode>0.0</c:formatCode>
                <c:ptCount val="12"/>
                <c:pt idx="0">
                  <c:v>10.333159556574172</c:v>
                </c:pt>
                <c:pt idx="1">
                  <c:v>8.1501236594066633</c:v>
                </c:pt>
                <c:pt idx="2">
                  <c:v>2.4270267076341288</c:v>
                </c:pt>
                <c:pt idx="3">
                  <c:v>1.5973383500557412</c:v>
                </c:pt>
                <c:pt idx="4">
                  <c:v>3.4088972217487645E-3</c:v>
                </c:pt>
                <c:pt idx="5">
                  <c:v>0</c:v>
                </c:pt>
                <c:pt idx="6">
                  <c:v>0.18739751698289997</c:v>
                </c:pt>
                <c:pt idx="7">
                  <c:v>0.10142355199768176</c:v>
                </c:pt>
                <c:pt idx="8">
                  <c:v>0</c:v>
                </c:pt>
                <c:pt idx="9">
                  <c:v>2.4824426334172083</c:v>
                </c:pt>
                <c:pt idx="10">
                  <c:v>6.1720597720920232</c:v>
                </c:pt>
                <c:pt idx="11">
                  <c:v>6.0436512721572413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FF-44A8-9D4F-1AF39852ECAE}"/>
            </c:ext>
          </c:extLst>
        </c:ser>
        <c:ser>
          <c:idx val="9"/>
          <c:order val="9"/>
          <c:tx>
            <c:strRef>
              <c:f>kopi!$R$15</c:f>
              <c:strCache>
                <c:ptCount val="1"/>
                <c:pt idx="0">
                  <c:v>Oljekjeler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kopi!$S$5:$AD$5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kopi!$S$15:$AD$15</c:f>
              <c:numCache>
                <c:formatCode>0.0</c:formatCode>
                <c:ptCount val="12"/>
                <c:pt idx="0">
                  <c:v>3.8922715245467874</c:v>
                </c:pt>
                <c:pt idx="1">
                  <c:v>3.403198048802726</c:v>
                </c:pt>
                <c:pt idx="2">
                  <c:v>3.3975419522571493E-2</c:v>
                </c:pt>
                <c:pt idx="3">
                  <c:v>2.2644927536231884E-2</c:v>
                </c:pt>
                <c:pt idx="4">
                  <c:v>0</c:v>
                </c:pt>
                <c:pt idx="5">
                  <c:v>0</c:v>
                </c:pt>
                <c:pt idx="6">
                  <c:v>2.7328804560006248E-2</c:v>
                </c:pt>
                <c:pt idx="7">
                  <c:v>0</c:v>
                </c:pt>
                <c:pt idx="8">
                  <c:v>0</c:v>
                </c:pt>
                <c:pt idx="9">
                  <c:v>0.14083449130581741</c:v>
                </c:pt>
                <c:pt idx="10">
                  <c:v>2.1205117179101269</c:v>
                </c:pt>
                <c:pt idx="11">
                  <c:v>2.5250211021343301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FF-44A8-9D4F-1AF39852E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41594432"/>
        <c:axId val="241578112"/>
      </c:barChart>
      <c:catAx>
        <c:axId val="2415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78112"/>
        <c:crosses val="autoZero"/>
        <c:auto val="1"/>
        <c:lblAlgn val="ctr"/>
        <c:lblOffset val="100"/>
        <c:noMultiLvlLbl val="0"/>
      </c:catAx>
      <c:valAx>
        <c:axId val="2415781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600">
                    <a:solidFill>
                      <a:sysClr val="windowText" lastClr="000000"/>
                    </a:solidFill>
                  </a:rPr>
                  <a:t>Produksjon andel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929559450186296E-2"/>
          <c:y val="0.81861524631768345"/>
          <c:w val="0.97949985381010984"/>
          <c:h val="0.18006041018559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1">
                <a:solidFill>
                  <a:sysClr val="windowText" lastClr="000000"/>
                </a:solidFill>
              </a:rPr>
              <a:t>Monthly DH production mix</a:t>
            </a:r>
            <a:r>
              <a:rPr lang="nb-NO" sz="1800" b="1" baseline="0">
                <a:solidFill>
                  <a:sysClr val="windowText" lastClr="000000"/>
                </a:solidFill>
              </a:rPr>
              <a:t> - 2024 </a:t>
            </a:r>
            <a:endParaRPr lang="nb-NO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1214919887195651"/>
          <c:y val="0.10014858927614546"/>
          <c:w val="0.86275617453395925"/>
          <c:h val="0.64962018482771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kopi!$A$6</c:f>
              <c:strCache>
                <c:ptCount val="1"/>
                <c:pt idx="0">
                  <c:v>Waste incineration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kopi!$C$6:$N$6</c:f>
              <c:numCache>
                <c:formatCode>#,##0</c:formatCode>
                <c:ptCount val="12"/>
                <c:pt idx="0">
                  <c:v>51808</c:v>
                </c:pt>
                <c:pt idx="1">
                  <c:v>44479</c:v>
                </c:pt>
                <c:pt idx="2">
                  <c:v>52378</c:v>
                </c:pt>
                <c:pt idx="3">
                  <c:v>47031</c:v>
                </c:pt>
                <c:pt idx="4">
                  <c:v>28833</c:v>
                </c:pt>
                <c:pt idx="5">
                  <c:v>21565</c:v>
                </c:pt>
                <c:pt idx="6">
                  <c:v>25471</c:v>
                </c:pt>
                <c:pt idx="7">
                  <c:v>27133</c:v>
                </c:pt>
                <c:pt idx="8">
                  <c:v>34081</c:v>
                </c:pt>
                <c:pt idx="9">
                  <c:v>43736</c:v>
                </c:pt>
                <c:pt idx="10">
                  <c:v>46351</c:v>
                </c:pt>
                <c:pt idx="11">
                  <c:v>52017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3-4560-9B6C-047B3F617289}"/>
            </c:ext>
          </c:extLst>
        </c:ser>
        <c:ser>
          <c:idx val="1"/>
          <c:order val="1"/>
          <c:tx>
            <c:strRef>
              <c:f>kopi!$A$7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kopi!$C$7:$N$7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297</c:v>
                </c:pt>
                <c:pt idx="3">
                  <c:v>258</c:v>
                </c:pt>
                <c:pt idx="4">
                  <c:v>362</c:v>
                </c:pt>
                <c:pt idx="5">
                  <c:v>190</c:v>
                </c:pt>
                <c:pt idx="6">
                  <c:v>70</c:v>
                </c:pt>
                <c:pt idx="7">
                  <c:v>209</c:v>
                </c:pt>
                <c:pt idx="8">
                  <c:v>231</c:v>
                </c:pt>
                <c:pt idx="9">
                  <c:v>353</c:v>
                </c:pt>
                <c:pt idx="10">
                  <c:v>251</c:v>
                </c:pt>
                <c:pt idx="11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3-4560-9B6C-047B3F617289}"/>
            </c:ext>
          </c:extLst>
        </c:ser>
        <c:ser>
          <c:idx val="2"/>
          <c:order val="2"/>
          <c:tx>
            <c:strRef>
              <c:f>kopi!$A$8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kopi!$C$8:$N$8</c:f>
              <c:numCache>
                <c:formatCode>#,##0</c:formatCode>
                <c:ptCount val="12"/>
                <c:pt idx="0" formatCode="General">
                  <c:v>972</c:v>
                </c:pt>
                <c:pt idx="1">
                  <c:v>2898</c:v>
                </c:pt>
                <c:pt idx="2" formatCode="General">
                  <c:v>431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A3-4560-9B6C-047B3F617289}"/>
            </c:ext>
          </c:extLst>
        </c:ser>
        <c:ser>
          <c:idx val="3"/>
          <c:order val="3"/>
          <c:tx>
            <c:strRef>
              <c:f>kopi!$A$9</c:f>
              <c:strCache>
                <c:ptCount val="1"/>
                <c:pt idx="0">
                  <c:v>Bio oil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kopi!$C$9:$N$9</c:f>
              <c:numCache>
                <c:formatCode>#,##0</c:formatCode>
                <c:ptCount val="12"/>
                <c:pt idx="0">
                  <c:v>1651</c:v>
                </c:pt>
                <c:pt idx="1">
                  <c:v>1171</c:v>
                </c:pt>
                <c:pt idx="2" formatCode="General">
                  <c:v>74</c:v>
                </c:pt>
                <c:pt idx="3" formatCode="General">
                  <c:v>200</c:v>
                </c:pt>
                <c:pt idx="4" formatCode="General">
                  <c:v>49</c:v>
                </c:pt>
                <c:pt idx="5" formatCode="General">
                  <c:v>118</c:v>
                </c:pt>
                <c:pt idx="6" formatCode="General">
                  <c:v>3</c:v>
                </c:pt>
                <c:pt idx="7" formatCode="General">
                  <c:v>5</c:v>
                </c:pt>
                <c:pt idx="8" formatCode="General">
                  <c:v>40</c:v>
                </c:pt>
                <c:pt idx="9" formatCode="General">
                  <c:v>122</c:v>
                </c:pt>
                <c:pt idx="10" formatCode="General">
                  <c:v>567</c:v>
                </c:pt>
                <c:pt idx="11" formatCode="General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A3-4560-9B6C-047B3F617289}"/>
            </c:ext>
          </c:extLst>
        </c:ser>
        <c:ser>
          <c:idx val="4"/>
          <c:order val="4"/>
          <c:tx>
            <c:strRef>
              <c:f>kopi!$A$10</c:f>
              <c:strCache>
                <c:ptCount val="1"/>
                <c:pt idx="0">
                  <c:v>Industrial waste heat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kopi!$C$10:$N$10</c:f>
              <c:numCache>
                <c:formatCode>General</c:formatCode>
                <c:ptCount val="12"/>
                <c:pt idx="0">
                  <c:v>341</c:v>
                </c:pt>
                <c:pt idx="1">
                  <c:v>511</c:v>
                </c:pt>
                <c:pt idx="2">
                  <c:v>168</c:v>
                </c:pt>
                <c:pt idx="3">
                  <c:v>146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A3-4560-9B6C-047B3F617289}"/>
            </c:ext>
          </c:extLst>
        </c:ser>
        <c:ser>
          <c:idx val="5"/>
          <c:order val="5"/>
          <c:tx>
            <c:strRef>
              <c:f>kopi!$A$11</c:f>
              <c:strCache>
                <c:ptCount val="1"/>
                <c:pt idx="0">
                  <c:v>Heat pump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kopi!$C$11:$N$11</c:f>
              <c:numCache>
                <c:formatCode>General</c:formatCode>
                <c:ptCount val="12"/>
                <c:pt idx="0">
                  <c:v>146</c:v>
                </c:pt>
                <c:pt idx="1">
                  <c:v>133</c:v>
                </c:pt>
                <c:pt idx="2">
                  <c:v>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215</c:v>
                </c:pt>
                <c:pt idx="8">
                  <c:v>259</c:v>
                </c:pt>
                <c:pt idx="9">
                  <c:v>221</c:v>
                </c:pt>
                <c:pt idx="10">
                  <c:v>179</c:v>
                </c:pt>
                <c:pt idx="11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A3-4560-9B6C-047B3F617289}"/>
            </c:ext>
          </c:extLst>
        </c:ser>
        <c:ser>
          <c:idx val="6"/>
          <c:order val="6"/>
          <c:tx>
            <c:strRef>
              <c:f>kopi!$A$12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kopi!$C$12:$N$12</c:f>
              <c:numCache>
                <c:formatCode>#,##0</c:formatCode>
                <c:ptCount val="12"/>
                <c:pt idx="0">
                  <c:v>29113</c:v>
                </c:pt>
                <c:pt idx="1">
                  <c:v>26563</c:v>
                </c:pt>
                <c:pt idx="2">
                  <c:v>12034</c:v>
                </c:pt>
                <c:pt idx="3">
                  <c:v>8843</c:v>
                </c:pt>
                <c:pt idx="4" formatCode="General">
                  <c:v>79</c:v>
                </c:pt>
                <c:pt idx="5">
                  <c:v>4617</c:v>
                </c:pt>
                <c:pt idx="6" formatCode="General">
                  <c:v>15</c:v>
                </c:pt>
                <c:pt idx="7" formatCode="General">
                  <c:v>17</c:v>
                </c:pt>
                <c:pt idx="8">
                  <c:v>2191</c:v>
                </c:pt>
                <c:pt idx="9">
                  <c:v>7425</c:v>
                </c:pt>
                <c:pt idx="10">
                  <c:v>20897</c:v>
                </c:pt>
                <c:pt idx="11">
                  <c:v>22508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A3-4560-9B6C-047B3F617289}"/>
            </c:ext>
          </c:extLst>
        </c:ser>
        <c:ser>
          <c:idx val="7"/>
          <c:order val="7"/>
          <c:tx>
            <c:strRef>
              <c:f>kopi!$A$13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kopi!$C$13:$N$13</c:f>
              <c:numCache>
                <c:formatCode>#,##0</c:formatCode>
                <c:ptCount val="12"/>
                <c:pt idx="0">
                  <c:v>3170</c:v>
                </c:pt>
                <c:pt idx="1">
                  <c:v>1846</c:v>
                </c:pt>
                <c:pt idx="2" formatCode="General">
                  <c:v>601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A3-4560-9B6C-047B3F617289}"/>
            </c:ext>
          </c:extLst>
        </c:ser>
        <c:ser>
          <c:idx val="8"/>
          <c:order val="8"/>
          <c:tx>
            <c:strRef>
              <c:f>kopi!$A$14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kopi!$C$14:$N$14</c:f>
              <c:numCache>
                <c:formatCode>#,##0</c:formatCode>
                <c:ptCount val="12"/>
                <c:pt idx="0">
                  <c:v>10505</c:v>
                </c:pt>
                <c:pt idx="1">
                  <c:v>7151</c:v>
                </c:pt>
                <c:pt idx="2">
                  <c:v>1643</c:v>
                </c:pt>
                <c:pt idx="3" formatCode="General">
                  <c:v>917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48</c:v>
                </c:pt>
                <c:pt idx="7" formatCode="General">
                  <c:v>28</c:v>
                </c:pt>
                <c:pt idx="8" formatCode="General">
                  <c:v>0</c:v>
                </c:pt>
                <c:pt idx="9">
                  <c:v>1322</c:v>
                </c:pt>
                <c:pt idx="10">
                  <c:v>4593</c:v>
                </c:pt>
                <c:pt idx="11">
                  <c:v>5012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A3-4560-9B6C-047B3F617289}"/>
            </c:ext>
          </c:extLst>
        </c:ser>
        <c:ser>
          <c:idx val="9"/>
          <c:order val="9"/>
          <c:tx>
            <c:strRef>
              <c:f>kopi!$A$15</c:f>
              <c:strCache>
                <c:ptCount val="1"/>
                <c:pt idx="0">
                  <c:v>Fossil oil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kopi!$C$5:$N$5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Mai</c:v>
                </c:pt>
                <c:pt idx="5">
                  <c:v>Juni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kopi!$C$15:$N$15</c:f>
              <c:numCache>
                <c:formatCode>#,##0</c:formatCode>
                <c:ptCount val="12"/>
                <c:pt idx="0">
                  <c:v>3957</c:v>
                </c:pt>
                <c:pt idx="1">
                  <c:v>2986</c:v>
                </c:pt>
                <c:pt idx="2" formatCode="General">
                  <c:v>23</c:v>
                </c:pt>
                <c:pt idx="3" formatCode="General">
                  <c:v>13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7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75</c:v>
                </c:pt>
                <c:pt idx="10">
                  <c:v>1578</c:v>
                </c:pt>
                <c:pt idx="11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A3-4560-9B6C-047B3F617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41594432"/>
        <c:axId val="241578112"/>
      </c:barChart>
      <c:catAx>
        <c:axId val="2415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78112"/>
        <c:crosses val="autoZero"/>
        <c:auto val="1"/>
        <c:lblAlgn val="ctr"/>
        <c:lblOffset val="100"/>
        <c:noMultiLvlLbl val="0"/>
      </c:catAx>
      <c:valAx>
        <c:axId val="2415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 sz="1600">
                    <a:solidFill>
                      <a:sysClr val="windowText" lastClr="000000"/>
                    </a:solidFill>
                  </a:rPr>
                  <a:t>Produksjon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415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929559450186296E-2"/>
          <c:y val="0.82091221940068138"/>
          <c:w val="0.97949985381010984"/>
          <c:h val="0.17776326329589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64638</xdr:colOff>
      <xdr:row>16</xdr:row>
      <xdr:rowOff>189579</xdr:rowOff>
    </xdr:from>
    <xdr:to>
      <xdr:col>13</xdr:col>
      <xdr:colOff>225250</xdr:colOff>
      <xdr:row>46</xdr:row>
      <xdr:rowOff>179267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9C77A-8C81-EE71-405E-7403CDD4F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139853</xdr:colOff>
      <xdr:row>16</xdr:row>
      <xdr:rowOff>187741</xdr:rowOff>
    </xdr:from>
    <xdr:to>
      <xdr:col>29</xdr:col>
      <xdr:colOff>302369</xdr:colOff>
      <xdr:row>46</xdr:row>
      <xdr:rowOff>167904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969D93-A751-4D09-8B7D-A13792FB4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50</xdr:row>
      <xdr:rowOff>0</xdr:rowOff>
    </xdr:from>
    <xdr:to>
      <xdr:col>14</xdr:col>
      <xdr:colOff>628650</xdr:colOff>
      <xdr:row>84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E29870-7DF7-4013-A631-C32936A5B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CDFD-4F88-44DE-9F92-70947BBBF417}">
  <dimension ref="A1:N17"/>
  <sheetViews>
    <sheetView workbookViewId="0">
      <selection sqref="A1:XFD1048576"/>
    </sheetView>
  </sheetViews>
  <sheetFormatPr defaultColWidth="11.5546875" defaultRowHeight="14.4" x14ac:dyDescent="0.3"/>
  <cols>
    <col min="1" max="1" width="31.44140625" customWidth="1"/>
  </cols>
  <sheetData>
    <row r="1" spans="1:14" x14ac:dyDescent="0.3">
      <c r="A1" s="2" t="s">
        <v>22</v>
      </c>
    </row>
    <row r="2" spans="1:14" x14ac:dyDescent="0.3">
      <c r="A2" t="s">
        <v>21</v>
      </c>
    </row>
    <row r="5" spans="1:14" ht="15" thickBot="1" x14ac:dyDescent="0.35">
      <c r="A5" s="4" t="s">
        <v>0</v>
      </c>
      <c r="B5" s="7" t="s">
        <v>1</v>
      </c>
      <c r="C5" s="7" t="s">
        <v>2</v>
      </c>
      <c r="D5" s="14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10</v>
      </c>
      <c r="L5" s="17" t="s">
        <v>11</v>
      </c>
      <c r="M5" s="5" t="s">
        <v>12</v>
      </c>
      <c r="N5" s="14" t="s">
        <v>13</v>
      </c>
    </row>
    <row r="6" spans="1:14" x14ac:dyDescent="0.3">
      <c r="A6" s="6" t="s">
        <v>23</v>
      </c>
      <c r="B6" s="8">
        <v>51808</v>
      </c>
      <c r="C6" s="8">
        <v>44479</v>
      </c>
      <c r="D6" s="21">
        <v>52378</v>
      </c>
      <c r="E6" s="18">
        <v>47031</v>
      </c>
      <c r="F6" s="18">
        <v>28833</v>
      </c>
      <c r="G6" s="18">
        <v>21565</v>
      </c>
      <c r="H6" s="18">
        <v>25471</v>
      </c>
      <c r="I6" s="18">
        <v>27133</v>
      </c>
      <c r="J6" s="18">
        <v>34081</v>
      </c>
      <c r="K6" s="18">
        <v>43736</v>
      </c>
      <c r="L6" s="18">
        <v>46351</v>
      </c>
      <c r="M6" s="9">
        <v>52017</v>
      </c>
      <c r="N6" s="15">
        <f>SUM(B6:M6)</f>
        <v>474883</v>
      </c>
    </row>
    <row r="7" spans="1:14" x14ac:dyDescent="0.3">
      <c r="A7" s="1" t="s">
        <v>14</v>
      </c>
      <c r="B7" s="10">
        <v>0</v>
      </c>
      <c r="C7" s="10">
        <v>3</v>
      </c>
      <c r="D7" s="22">
        <v>297</v>
      </c>
      <c r="E7" s="19">
        <v>258</v>
      </c>
      <c r="F7" s="19">
        <v>362</v>
      </c>
      <c r="G7" s="19">
        <v>190</v>
      </c>
      <c r="H7" s="19">
        <v>70</v>
      </c>
      <c r="I7" s="19">
        <v>209</v>
      </c>
      <c r="J7" s="19">
        <v>231</v>
      </c>
      <c r="K7" s="19">
        <v>353</v>
      </c>
      <c r="L7" s="19">
        <v>251</v>
      </c>
      <c r="M7" s="11">
        <v>235</v>
      </c>
      <c r="N7" s="15">
        <f t="shared" ref="N7:N15" si="0">SUM(B7:M7)</f>
        <v>2459</v>
      </c>
    </row>
    <row r="8" spans="1:14" x14ac:dyDescent="0.3">
      <c r="A8" s="1" t="s">
        <v>24</v>
      </c>
      <c r="B8" s="10">
        <v>972</v>
      </c>
      <c r="C8" s="8">
        <v>2898</v>
      </c>
      <c r="D8" s="22">
        <v>431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1">
        <v>0</v>
      </c>
      <c r="N8" s="15">
        <f t="shared" si="0"/>
        <v>4301</v>
      </c>
    </row>
    <row r="9" spans="1:14" x14ac:dyDescent="0.3">
      <c r="A9" s="1" t="s">
        <v>15</v>
      </c>
      <c r="B9" s="8">
        <v>1651</v>
      </c>
      <c r="C9" s="8">
        <v>1171</v>
      </c>
      <c r="D9" s="22">
        <v>74</v>
      </c>
      <c r="E9" s="19">
        <v>200</v>
      </c>
      <c r="F9" s="19">
        <v>49</v>
      </c>
      <c r="G9" s="19">
        <v>118</v>
      </c>
      <c r="H9" s="19">
        <v>3</v>
      </c>
      <c r="I9" s="19">
        <v>5</v>
      </c>
      <c r="J9" s="19">
        <v>40</v>
      </c>
      <c r="K9" s="19">
        <v>122</v>
      </c>
      <c r="L9" s="19">
        <v>567</v>
      </c>
      <c r="M9" s="11">
        <v>841</v>
      </c>
      <c r="N9" s="15">
        <f t="shared" si="0"/>
        <v>4841</v>
      </c>
    </row>
    <row r="10" spans="1:14" x14ac:dyDescent="0.3">
      <c r="A10" s="1" t="s">
        <v>16</v>
      </c>
      <c r="B10" s="10">
        <v>341</v>
      </c>
      <c r="C10" s="10">
        <v>511</v>
      </c>
      <c r="D10" s="22">
        <v>168</v>
      </c>
      <c r="E10" s="19">
        <v>146</v>
      </c>
      <c r="F10" s="19">
        <v>10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1">
        <v>32</v>
      </c>
      <c r="N10" s="15">
        <f t="shared" si="0"/>
        <v>1208</v>
      </c>
    </row>
    <row r="11" spans="1:14" x14ac:dyDescent="0.3">
      <c r="A11" s="1" t="s">
        <v>17</v>
      </c>
      <c r="B11" s="10">
        <v>146</v>
      </c>
      <c r="C11" s="10">
        <v>133</v>
      </c>
      <c r="D11" s="22">
        <v>47</v>
      </c>
      <c r="E11" s="19">
        <v>0</v>
      </c>
      <c r="F11" s="19">
        <v>0</v>
      </c>
      <c r="G11" s="19">
        <v>0</v>
      </c>
      <c r="H11" s="19">
        <v>0</v>
      </c>
      <c r="I11" s="19">
        <v>215</v>
      </c>
      <c r="J11" s="19">
        <v>259</v>
      </c>
      <c r="K11" s="19">
        <v>221</v>
      </c>
      <c r="L11" s="19">
        <v>179</v>
      </c>
      <c r="M11" s="11">
        <v>191</v>
      </c>
      <c r="N11" s="15">
        <f t="shared" si="0"/>
        <v>1391</v>
      </c>
    </row>
    <row r="12" spans="1:14" x14ac:dyDescent="0.3">
      <c r="A12" s="1" t="s">
        <v>25</v>
      </c>
      <c r="B12" s="8">
        <v>29113</v>
      </c>
      <c r="C12" s="8">
        <v>26563</v>
      </c>
      <c r="D12" s="21">
        <v>12034</v>
      </c>
      <c r="E12" s="18">
        <v>8843</v>
      </c>
      <c r="F12" s="19">
        <v>79</v>
      </c>
      <c r="G12" s="18">
        <v>4617</v>
      </c>
      <c r="H12" s="19">
        <v>15</v>
      </c>
      <c r="I12" s="19">
        <v>17</v>
      </c>
      <c r="J12" s="18">
        <v>2191</v>
      </c>
      <c r="K12" s="18">
        <v>7425</v>
      </c>
      <c r="L12" s="18">
        <v>20897</v>
      </c>
      <c r="M12" s="9">
        <v>22508</v>
      </c>
      <c r="N12" s="15">
        <f t="shared" si="0"/>
        <v>134302</v>
      </c>
    </row>
    <row r="13" spans="1:14" x14ac:dyDescent="0.3">
      <c r="A13" s="1" t="s">
        <v>18</v>
      </c>
      <c r="B13" s="8">
        <v>3170</v>
      </c>
      <c r="C13" s="8">
        <v>1846</v>
      </c>
      <c r="D13" s="22">
        <v>601</v>
      </c>
      <c r="E13" s="19">
        <v>0</v>
      </c>
      <c r="F13" s="19">
        <v>1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1">
        <v>0</v>
      </c>
      <c r="N13" s="15">
        <f t="shared" si="0"/>
        <v>5618</v>
      </c>
    </row>
    <row r="14" spans="1:14" x14ac:dyDescent="0.3">
      <c r="A14" s="1" t="s">
        <v>19</v>
      </c>
      <c r="B14" s="8">
        <v>10505</v>
      </c>
      <c r="C14" s="8">
        <v>7151</v>
      </c>
      <c r="D14" s="21">
        <v>1643</v>
      </c>
      <c r="E14" s="19">
        <v>917</v>
      </c>
      <c r="F14" s="19">
        <v>1</v>
      </c>
      <c r="G14" s="19">
        <v>0</v>
      </c>
      <c r="H14" s="19">
        <v>48</v>
      </c>
      <c r="I14" s="19">
        <v>28</v>
      </c>
      <c r="J14" s="19">
        <v>0</v>
      </c>
      <c r="K14" s="18">
        <v>1322</v>
      </c>
      <c r="L14" s="18">
        <v>4593</v>
      </c>
      <c r="M14" s="9">
        <v>5012</v>
      </c>
      <c r="N14" s="15">
        <f t="shared" si="0"/>
        <v>31220</v>
      </c>
    </row>
    <row r="15" spans="1:14" x14ac:dyDescent="0.3">
      <c r="A15" s="1" t="s">
        <v>20</v>
      </c>
      <c r="B15" s="8">
        <v>3957</v>
      </c>
      <c r="C15" s="8">
        <v>2986</v>
      </c>
      <c r="D15" s="22">
        <v>23</v>
      </c>
      <c r="E15" s="19">
        <v>13</v>
      </c>
      <c r="F15" s="19">
        <v>0</v>
      </c>
      <c r="G15" s="19">
        <v>0</v>
      </c>
      <c r="H15" s="19">
        <v>7</v>
      </c>
      <c r="I15" s="19">
        <v>0</v>
      </c>
      <c r="J15" s="19">
        <v>0</v>
      </c>
      <c r="K15" s="19">
        <v>75</v>
      </c>
      <c r="L15" s="18">
        <v>1578</v>
      </c>
      <c r="M15" s="9">
        <v>2094</v>
      </c>
      <c r="N15" s="15">
        <f t="shared" si="0"/>
        <v>10733</v>
      </c>
    </row>
    <row r="16" spans="1:14" ht="15" thickBot="1" x14ac:dyDescent="0.35">
      <c r="A16" s="3" t="s">
        <v>13</v>
      </c>
      <c r="B16" s="12">
        <f>SUM(B6:B15)</f>
        <v>101663</v>
      </c>
      <c r="C16" s="12">
        <f t="shared" ref="C16:M16" si="1">SUM(C6:C15)</f>
        <v>87741</v>
      </c>
      <c r="D16" s="16">
        <f t="shared" si="1"/>
        <v>67696</v>
      </c>
      <c r="E16" s="20">
        <f t="shared" si="1"/>
        <v>57408</v>
      </c>
      <c r="F16" s="20">
        <f t="shared" si="1"/>
        <v>29335</v>
      </c>
      <c r="G16" s="20">
        <f t="shared" si="1"/>
        <v>26490</v>
      </c>
      <c r="H16" s="20">
        <f t="shared" si="1"/>
        <v>25614</v>
      </c>
      <c r="I16" s="20">
        <f t="shared" si="1"/>
        <v>27607</v>
      </c>
      <c r="J16" s="20">
        <f t="shared" si="1"/>
        <v>36802</v>
      </c>
      <c r="K16" s="20">
        <f t="shared" si="1"/>
        <v>53254</v>
      </c>
      <c r="L16" s="20">
        <f t="shared" si="1"/>
        <v>74416</v>
      </c>
      <c r="M16" s="13">
        <f t="shared" si="1"/>
        <v>82930</v>
      </c>
      <c r="N16" s="16">
        <f>SUM(N6:N15)</f>
        <v>670956</v>
      </c>
    </row>
    <row r="17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3A64-AA80-419B-9540-D2FE0AD3617B}">
  <dimension ref="A1:AE29"/>
  <sheetViews>
    <sheetView tabSelected="1" topLeftCell="A34" zoomScaleNormal="100" workbookViewId="0">
      <selection activeCell="R70" sqref="R70"/>
    </sheetView>
  </sheetViews>
  <sheetFormatPr defaultColWidth="11.5546875" defaultRowHeight="14.4" x14ac:dyDescent="0.3"/>
  <cols>
    <col min="2" max="2" width="31.44140625" customWidth="1"/>
    <col min="18" max="18" width="26.44140625" customWidth="1"/>
  </cols>
  <sheetData>
    <row r="1" spans="1:31" x14ac:dyDescent="0.3">
      <c r="B1" s="2" t="s">
        <v>22</v>
      </c>
    </row>
    <row r="2" spans="1:31" x14ac:dyDescent="0.3">
      <c r="B2" t="s">
        <v>21</v>
      </c>
    </row>
    <row r="5" spans="1:31" ht="15" thickBot="1" x14ac:dyDescent="0.35">
      <c r="B5" s="4" t="s">
        <v>0</v>
      </c>
      <c r="C5" s="7" t="s">
        <v>1</v>
      </c>
      <c r="D5" s="7" t="s">
        <v>2</v>
      </c>
      <c r="E5" s="14" t="s">
        <v>3</v>
      </c>
      <c r="F5" s="17" t="s">
        <v>4</v>
      </c>
      <c r="G5" s="17" t="s">
        <v>5</v>
      </c>
      <c r="H5" s="17" t="s">
        <v>6</v>
      </c>
      <c r="I5" s="17" t="s">
        <v>7</v>
      </c>
      <c r="J5" s="17" t="s">
        <v>8</v>
      </c>
      <c r="K5" s="17" t="s">
        <v>9</v>
      </c>
      <c r="L5" s="17" t="s">
        <v>10</v>
      </c>
      <c r="M5" s="17" t="s">
        <v>11</v>
      </c>
      <c r="N5" s="5" t="s">
        <v>12</v>
      </c>
      <c r="O5" s="14" t="s">
        <v>13</v>
      </c>
      <c r="S5" t="str">
        <f>C5</f>
        <v>Jan</v>
      </c>
      <c r="T5" t="str">
        <f t="shared" ref="T5:Y5" si="0">D5</f>
        <v>Feb</v>
      </c>
      <c r="U5" t="str">
        <f t="shared" si="0"/>
        <v>Mar</v>
      </c>
      <c r="V5" t="str">
        <f t="shared" si="0"/>
        <v>Apr</v>
      </c>
      <c r="W5" t="str">
        <f t="shared" si="0"/>
        <v>Mai</v>
      </c>
      <c r="X5" t="str">
        <f t="shared" si="0"/>
        <v>Juni</v>
      </c>
      <c r="Y5" t="str">
        <f t="shared" si="0"/>
        <v>Jul</v>
      </c>
      <c r="Z5" t="str">
        <f>J5</f>
        <v>Aug</v>
      </c>
      <c r="AA5" t="str">
        <f t="shared" ref="AA5" si="1">K5</f>
        <v>Sep</v>
      </c>
      <c r="AB5" t="str">
        <f>L5</f>
        <v>Okt</v>
      </c>
      <c r="AC5" t="str">
        <f t="shared" ref="AC5" si="2">M5</f>
        <v>Nov</v>
      </c>
      <c r="AD5" t="str">
        <f t="shared" ref="AD5:AE5" si="3">N5</f>
        <v>Des</v>
      </c>
      <c r="AE5" t="str">
        <f t="shared" si="3"/>
        <v>Sum</v>
      </c>
    </row>
    <row r="6" spans="1:31" x14ac:dyDescent="0.3">
      <c r="A6" t="s">
        <v>26</v>
      </c>
      <c r="B6" s="6" t="s">
        <v>23</v>
      </c>
      <c r="C6" s="8">
        <v>51808</v>
      </c>
      <c r="D6" s="8">
        <v>44479</v>
      </c>
      <c r="E6" s="21">
        <v>52378</v>
      </c>
      <c r="F6" s="18">
        <v>47031</v>
      </c>
      <c r="G6" s="18">
        <v>28833</v>
      </c>
      <c r="H6" s="18">
        <v>21565</v>
      </c>
      <c r="I6" s="18">
        <v>25471</v>
      </c>
      <c r="J6" s="18">
        <v>27133</v>
      </c>
      <c r="K6" s="18">
        <v>34081</v>
      </c>
      <c r="L6" s="18">
        <v>43736</v>
      </c>
      <c r="M6" s="18">
        <v>46351</v>
      </c>
      <c r="N6" s="9">
        <v>52017</v>
      </c>
      <c r="O6" s="15">
        <f>SUM(C6:N6)</f>
        <v>474883</v>
      </c>
      <c r="R6" t="str">
        <f>B6</f>
        <v>Spillvarme (Avfallsforbrenning)</v>
      </c>
      <c r="S6" s="24" cm="1">
        <f t="array" ref="S6">SUMPRODUCT(($B$6:$B$16=$R6)*($C$5:$N$5=S$5)*($C$6:$N$16))/ SUMPRODUCT(($B$6:$B$16=$R$16)*($C$5:$N$5=S$5)*($C$6:$N$16))*100</f>
        <v>50.960526445216061</v>
      </c>
      <c r="T6" s="24" cm="1">
        <f t="array" ref="T6">SUMPRODUCT(($B$6:$B$16=$R6)*($C$5:$N$5=T$5)*($C$6:$N$16))/ SUMPRODUCT(($B$6:$B$16=$R$16)*($C$5:$N$5=T$5)*($C$6:$N$16))*100</f>
        <v>50.693518423542017</v>
      </c>
      <c r="U6" s="24" cm="1">
        <f t="array" ref="U6">SUMPRODUCT(($B$6:$B$16=$R6)*($C$5:$N$5=U$5)*($C$6:$N$16))/ SUMPRODUCT(($B$6:$B$16=$R$16)*($C$5:$N$5=U$5)*($C$6:$N$16))*100</f>
        <v>77.372370597967389</v>
      </c>
      <c r="V6" s="24" cm="1">
        <f t="array" ref="V6">SUMPRODUCT(($B$6:$B$16=$R6)*($C$5:$N$5=V$5)*($C$6:$N$16))/ SUMPRODUCT(($B$6:$B$16=$R$16)*($C$5:$N$5=V$5)*($C$6:$N$16))*100</f>
        <v>81.924122073578602</v>
      </c>
      <c r="W6" s="24" cm="1">
        <f t="array" ref="W6">SUMPRODUCT(($B$6:$B$16=$R6)*($C$5:$N$5=W$5)*($C$6:$N$16))/ SUMPRODUCT(($B$6:$B$16=$R$16)*($C$5:$N$5=W$5)*($C$6:$N$16))*100</f>
        <v>98.288733594682114</v>
      </c>
      <c r="X6" s="24" cm="1">
        <f t="array" ref="X6">SUMPRODUCT(($B$6:$B$16=$R6)*($C$5:$N$5=X$5)*($C$6:$N$16))/ SUMPRODUCT(($B$6:$B$16=$R$16)*($C$5:$N$5=X$5)*($C$6:$N$16))*100</f>
        <v>81.408078520196298</v>
      </c>
      <c r="Y6" s="24" cm="1">
        <f t="array" ref="Y6">SUMPRODUCT(($B$6:$B$16=$R6)*($C$5:$N$5=Y$5)*($C$6:$N$16))/ SUMPRODUCT(($B$6:$B$16=$R$16)*($C$5:$N$5=Y$5)*($C$6:$N$16))*100</f>
        <v>99.441711563988449</v>
      </c>
      <c r="Z6" s="24" cm="1">
        <f t="array" ref="Z6">SUMPRODUCT(($B$6:$B$16=$R6)*($C$5:$N$5=Z$5)*($C$6:$N$16))/ SUMPRODUCT(($B$6:$B$16=$R$16)*($C$5:$N$5=Z$5)*($C$6:$N$16))*100</f>
        <v>98.28304415546782</v>
      </c>
      <c r="AA6" s="24" cm="1">
        <f t="array" ref="AA6">SUMPRODUCT(($B$6:$B$16=$R6)*($C$5:$N$5=AA$5)*($C$6:$N$16))/ SUMPRODUCT(($B$6:$B$16=$R$16)*($C$5:$N$5=AA$5)*($C$6:$N$16))*100</f>
        <v>92.606380088038691</v>
      </c>
      <c r="AB6" s="24" cm="1">
        <f t="array" ref="AB6">SUMPRODUCT(($B$6:$B$16=$R6)*($C$5:$N$5=AB$5)*($C$6:$N$16))/ SUMPRODUCT(($B$6:$B$16=$R$16)*($C$5:$N$5=AB$5)*($C$6:$N$16))*100</f>
        <v>82.127164156683065</v>
      </c>
      <c r="AC6" s="24" cm="1">
        <f t="array" ref="AC6">SUMPRODUCT(($B$6:$B$16=$R6)*($C$5:$N$5=AC$5)*($C$6:$N$16))/ SUMPRODUCT(($B$6:$B$16=$R$16)*($C$5:$N$5=AC$5)*($C$6:$N$16))*100</f>
        <v>62.286336271769514</v>
      </c>
      <c r="AD6" s="24" cm="1">
        <f t="array" ref="AD6">SUMPRODUCT(($B$6:$B$16=$R6)*($C$5:$N$5=AD$5)*($C$6:$N$16))/ SUMPRODUCT(($B$6:$B$16=$R$16)*($C$5:$N$5=AD$5)*($C$6:$N$16))*100</f>
        <v>62.723984082961536</v>
      </c>
      <c r="AE6" s="24" cm="1">
        <f t="array" ref="AE6">SUMPRODUCT(($B$6:$B$16=$R6)*($C$5:$O$5=AE$5)*($C$6:$O$16))/ SUMPRODUCT(($B$6:$B$16=$R$16)*($C$5:$O$5=AE$5)*($C$6:$O$16))*100</f>
        <v>70.777070329500006</v>
      </c>
    </row>
    <row r="7" spans="1:31" x14ac:dyDescent="0.3">
      <c r="A7" t="s">
        <v>27</v>
      </c>
      <c r="B7" s="1" t="s">
        <v>14</v>
      </c>
      <c r="C7" s="10">
        <v>0</v>
      </c>
      <c r="D7" s="10">
        <v>3</v>
      </c>
      <c r="E7" s="22">
        <v>297</v>
      </c>
      <c r="F7" s="19">
        <v>258</v>
      </c>
      <c r="G7" s="19">
        <v>362</v>
      </c>
      <c r="H7" s="19">
        <v>190</v>
      </c>
      <c r="I7" s="19">
        <v>70</v>
      </c>
      <c r="J7" s="19">
        <v>209</v>
      </c>
      <c r="K7" s="19">
        <v>231</v>
      </c>
      <c r="L7" s="19">
        <v>353</v>
      </c>
      <c r="M7" s="19">
        <v>251</v>
      </c>
      <c r="N7" s="11">
        <v>235</v>
      </c>
      <c r="O7" s="15">
        <f t="shared" ref="O7:O15" si="4">SUM(C7:N7)</f>
        <v>2459</v>
      </c>
      <c r="R7" t="str">
        <f t="shared" ref="R7:R15" si="5">B7</f>
        <v>Biogass</v>
      </c>
      <c r="S7" s="24" cm="1">
        <f t="array" ref="S7">SUMPRODUCT(($B$6:$B$16=$R7)*($C$5:$N$5=S$5)*($C$6:$N$16))/ SUMPRODUCT(($B$6:$B$16=$R$16)*($C$5:$N$5=S$5)*($C$6:$N$16))*100</f>
        <v>0</v>
      </c>
      <c r="T7" s="24" cm="1">
        <f t="array" ref="T7">SUMPRODUCT(($B$6:$B$16=$R7)*($C$5:$N$5=T$5)*($C$6:$N$16))/ SUMPRODUCT(($B$6:$B$16=$R$16)*($C$5:$N$5=T$5)*($C$6:$N$16))*100</f>
        <v>3.4191541012753447E-3</v>
      </c>
      <c r="U7" s="24" cm="1">
        <f t="array" ref="U7">SUMPRODUCT(($B$6:$B$16=$R7)*($C$5:$N$5=U$5)*($C$6:$N$16))/ SUMPRODUCT(($B$6:$B$16=$R$16)*($C$5:$N$5=U$5)*($C$6:$N$16))*100</f>
        <v>0.4387260694871189</v>
      </c>
      <c r="V7" s="24" cm="1">
        <f t="array" ref="V7">SUMPRODUCT(($B$6:$B$16=$R7)*($C$5:$N$5=V$5)*($C$6:$N$16))/ SUMPRODUCT(($B$6:$B$16=$R$16)*($C$5:$N$5=V$5)*($C$6:$N$16))*100</f>
        <v>0.4494147157190635</v>
      </c>
      <c r="W7" s="24" cm="1">
        <f t="array" ref="W7">SUMPRODUCT(($B$6:$B$16=$R7)*($C$5:$N$5=W$5)*($C$6:$N$16))/ SUMPRODUCT(($B$6:$B$16=$R$16)*($C$5:$N$5=W$5)*($C$6:$N$16))*100</f>
        <v>1.2340207942730526</v>
      </c>
      <c r="X7" s="24" cm="1">
        <f t="array" ref="X7">SUMPRODUCT(($B$6:$B$16=$R7)*($C$5:$N$5=X$5)*($C$6:$N$16))/ SUMPRODUCT(($B$6:$B$16=$R$16)*($C$5:$N$5=X$5)*($C$6:$N$16))*100</f>
        <v>0.71725179312948284</v>
      </c>
      <c r="Y7" s="24" cm="1">
        <f t="array" ref="Y7">SUMPRODUCT(($B$6:$B$16=$R7)*($C$5:$N$5=Y$5)*($C$6:$N$16))/ SUMPRODUCT(($B$6:$B$16=$R$16)*($C$5:$N$5=Y$5)*($C$6:$N$16))*100</f>
        <v>0.27328804560006242</v>
      </c>
      <c r="Z7" s="24" cm="1">
        <f t="array" ref="Z7">SUMPRODUCT(($B$6:$B$16=$R7)*($C$5:$N$5=Z$5)*($C$6:$N$16))/ SUMPRODUCT(($B$6:$B$16=$R$16)*($C$5:$N$5=Z$5)*($C$6:$N$16))*100</f>
        <v>0.75705437026841016</v>
      </c>
      <c r="AA7" s="24" cm="1">
        <f t="array" ref="AA7">SUMPRODUCT(($B$6:$B$16=$R7)*($C$5:$N$5=AA$5)*($C$6:$N$16))/ SUMPRODUCT(($B$6:$B$16=$R$16)*($C$5:$N$5=AA$5)*($C$6:$N$16))*100</f>
        <v>0.62768327808271296</v>
      </c>
      <c r="AB7" s="24" cm="1">
        <f t="array" ref="AB7">SUMPRODUCT(($B$6:$B$16=$R7)*($C$5:$N$5=AB$5)*($C$6:$N$16))/ SUMPRODUCT(($B$6:$B$16=$R$16)*($C$5:$N$5=AB$5)*($C$6:$N$16))*100</f>
        <v>0.66286100574604723</v>
      </c>
      <c r="AC7" s="24" cm="1">
        <f t="array" ref="AC7">SUMPRODUCT(($B$6:$B$16=$R7)*($C$5:$N$5=AC$5)*($C$6:$N$16))/ SUMPRODUCT(($B$6:$B$16=$R$16)*($C$5:$N$5=AC$5)*($C$6:$N$16))*100</f>
        <v>0.33729305525693398</v>
      </c>
      <c r="AD7" s="24" cm="1">
        <f t="array" ref="AD7">SUMPRODUCT(($B$6:$B$16=$R7)*($C$5:$N$5=AD$5)*($C$6:$N$16))/ SUMPRODUCT(($B$6:$B$16=$R$16)*($C$5:$N$5=AD$5)*($C$6:$N$16))*100</f>
        <v>0.28337151814783557</v>
      </c>
      <c r="AE7" s="24" cm="1">
        <f t="array" ref="AE7">SUMPRODUCT(($B$6:$B$16=$R7)*($C$5:$O$5=AE$5)*($C$6:$O$16))/ SUMPRODUCT(($B$6:$B$16=$R$16)*($C$5:$O$5=AE$5)*($C$6:$O$16))*100</f>
        <v>0.36649199053291126</v>
      </c>
    </row>
    <row r="8" spans="1:31" x14ac:dyDescent="0.3">
      <c r="A8" t="s">
        <v>28</v>
      </c>
      <c r="B8" s="1" t="s">
        <v>24</v>
      </c>
      <c r="C8" s="10">
        <v>972</v>
      </c>
      <c r="D8" s="8">
        <v>2898</v>
      </c>
      <c r="E8" s="22">
        <v>431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1">
        <v>0</v>
      </c>
      <c r="O8" s="15">
        <f t="shared" si="4"/>
        <v>4301</v>
      </c>
      <c r="R8" t="str">
        <f t="shared" si="5"/>
        <v>Flis/Briketter</v>
      </c>
      <c r="S8" s="24" cm="1">
        <f t="array" ref="S8">SUMPRODUCT(($B$6:$B$16=$R8)*($C$5:$N$5=S$5)*($C$6:$N$16))/ SUMPRODUCT(($B$6:$B$16=$R$16)*($C$5:$N$5=S$5)*($C$6:$N$16))*100</f>
        <v>0.95610005606759585</v>
      </c>
      <c r="T8" s="24" cm="1">
        <f t="array" ref="T8">SUMPRODUCT(($B$6:$B$16=$R8)*($C$5:$N$5=T$5)*($C$6:$N$16))/ SUMPRODUCT(($B$6:$B$16=$R$16)*($C$5:$N$5=T$5)*($C$6:$N$16))*100</f>
        <v>3.3029028618319827</v>
      </c>
      <c r="U8" s="24" cm="1">
        <f t="array" ref="U8">SUMPRODUCT(($B$6:$B$16=$R8)*($C$5:$N$5=U$5)*($C$6:$N$16))/ SUMPRODUCT(($B$6:$B$16=$R$16)*($C$5:$N$5=U$5)*($C$6:$N$16))*100</f>
        <v>0.63666981800992672</v>
      </c>
      <c r="V8" s="24" cm="1">
        <f t="array" ref="V8">SUMPRODUCT(($B$6:$B$16=$R8)*($C$5:$N$5=V$5)*($C$6:$N$16))/ SUMPRODUCT(($B$6:$B$16=$R$16)*($C$5:$N$5=V$5)*($C$6:$N$16))*100</f>
        <v>0</v>
      </c>
      <c r="W8" s="24" cm="1">
        <f t="array" ref="W8">SUMPRODUCT(($B$6:$B$16=$R8)*($C$5:$N$5=W$5)*($C$6:$N$16))/ SUMPRODUCT(($B$6:$B$16=$R$16)*($C$5:$N$5=W$5)*($C$6:$N$16))*100</f>
        <v>0</v>
      </c>
      <c r="X8" s="24" cm="1">
        <f t="array" ref="X8">SUMPRODUCT(($B$6:$B$16=$R8)*($C$5:$N$5=X$5)*($C$6:$N$16))/ SUMPRODUCT(($B$6:$B$16=$R$16)*($C$5:$N$5=X$5)*($C$6:$N$16))*100</f>
        <v>0</v>
      </c>
      <c r="Y8" s="24" cm="1">
        <f t="array" ref="Y8">SUMPRODUCT(($B$6:$B$16=$R8)*($C$5:$N$5=Y$5)*($C$6:$N$16))/ SUMPRODUCT(($B$6:$B$16=$R$16)*($C$5:$N$5=Y$5)*($C$6:$N$16))*100</f>
        <v>0</v>
      </c>
      <c r="Z8" s="24" cm="1">
        <f t="array" ref="Z8">SUMPRODUCT(($B$6:$B$16=$R8)*($C$5:$N$5=Z$5)*($C$6:$N$16))/ SUMPRODUCT(($B$6:$B$16=$R$16)*($C$5:$N$5=Z$5)*($C$6:$N$16))*100</f>
        <v>0</v>
      </c>
      <c r="AA8" s="24" cm="1">
        <f t="array" ref="AA8">SUMPRODUCT(($B$6:$B$16=$R8)*($C$5:$N$5=AA$5)*($C$6:$N$16))/ SUMPRODUCT(($B$6:$B$16=$R$16)*($C$5:$N$5=AA$5)*($C$6:$N$16))*100</f>
        <v>0</v>
      </c>
      <c r="AB8" s="24" cm="1">
        <f t="array" ref="AB8">SUMPRODUCT(($B$6:$B$16=$R8)*($C$5:$N$5=AB$5)*($C$6:$N$16))/ SUMPRODUCT(($B$6:$B$16=$R$16)*($C$5:$N$5=AB$5)*($C$6:$N$16))*100</f>
        <v>0</v>
      </c>
      <c r="AC8" s="24" cm="1">
        <f t="array" ref="AC8">SUMPRODUCT(($B$6:$B$16=$R8)*($C$5:$N$5=AC$5)*($C$6:$N$16))/ SUMPRODUCT(($B$6:$B$16=$R$16)*($C$5:$N$5=AC$5)*($C$6:$N$16))*100</f>
        <v>0</v>
      </c>
      <c r="AD8" s="24" cm="1">
        <f t="array" ref="AD8">SUMPRODUCT(($B$6:$B$16=$R8)*($C$5:$N$5=AD$5)*($C$6:$N$16))/ SUMPRODUCT(($B$6:$B$16=$R$16)*($C$5:$N$5=AD$5)*($C$6:$N$16))*100</f>
        <v>0</v>
      </c>
      <c r="AE8" s="24" cm="1">
        <f t="array" ref="AE8">SUMPRODUCT(($B$6:$B$16=$R8)*($C$5:$O$5=AE$5)*($C$6:$O$16))/ SUMPRODUCT(($B$6:$B$16=$R$16)*($C$5:$O$5=AE$5)*($C$6:$O$16))*100</f>
        <v>0.64102564102564097</v>
      </c>
    </row>
    <row r="9" spans="1:31" x14ac:dyDescent="0.3">
      <c r="A9" t="s">
        <v>29</v>
      </c>
      <c r="B9" s="1" t="s">
        <v>15</v>
      </c>
      <c r="C9" s="8">
        <v>1651</v>
      </c>
      <c r="D9" s="8">
        <v>1171</v>
      </c>
      <c r="E9" s="22">
        <v>74</v>
      </c>
      <c r="F9" s="19">
        <v>200</v>
      </c>
      <c r="G9" s="19">
        <v>49</v>
      </c>
      <c r="H9" s="19">
        <v>118</v>
      </c>
      <c r="I9" s="19">
        <v>3</v>
      </c>
      <c r="J9" s="19">
        <v>5</v>
      </c>
      <c r="K9" s="19">
        <v>40</v>
      </c>
      <c r="L9" s="19">
        <v>122</v>
      </c>
      <c r="M9" s="19">
        <v>567</v>
      </c>
      <c r="N9" s="11">
        <v>841</v>
      </c>
      <c r="O9" s="15">
        <f t="shared" si="4"/>
        <v>4841</v>
      </c>
      <c r="R9" t="str">
        <f t="shared" si="5"/>
        <v>Bioolje</v>
      </c>
      <c r="S9" s="24" cm="1">
        <f t="array" ref="S9">SUMPRODUCT(($B$6:$B$16=$R9)*($C$5:$N$5=S$5)*($C$6:$N$16))/ SUMPRODUCT(($B$6:$B$16=$R$16)*($C$5:$N$5=S$5)*($C$6:$N$16))*100</f>
        <v>1.623992996468725</v>
      </c>
      <c r="T9" s="24" cm="1">
        <f t="array" ref="T9">SUMPRODUCT(($B$6:$B$16=$R9)*($C$5:$N$5=T$5)*($C$6:$N$16))/ SUMPRODUCT(($B$6:$B$16=$R$16)*($C$5:$N$5=T$5)*($C$6:$N$16))*100</f>
        <v>1.3346098175311427</v>
      </c>
      <c r="U9" s="24" cm="1">
        <f t="array" ref="U9">SUMPRODUCT(($B$6:$B$16=$R9)*($C$5:$N$5=U$5)*($C$6:$N$16))/ SUMPRODUCT(($B$6:$B$16=$R$16)*($C$5:$N$5=U$5)*($C$6:$N$16))*100</f>
        <v>0.1093122193334909</v>
      </c>
      <c r="V9" s="24" cm="1">
        <f t="array" ref="V9">SUMPRODUCT(($B$6:$B$16=$R9)*($C$5:$N$5=V$5)*($C$6:$N$16))/ SUMPRODUCT(($B$6:$B$16=$R$16)*($C$5:$N$5=V$5)*($C$6:$N$16))*100</f>
        <v>0.34838350055741363</v>
      </c>
      <c r="W9" s="24" cm="1">
        <f t="array" ref="W9">SUMPRODUCT(($B$6:$B$16=$R9)*($C$5:$N$5=W$5)*($C$6:$N$16))/ SUMPRODUCT(($B$6:$B$16=$R$16)*($C$5:$N$5=W$5)*($C$6:$N$16))*100</f>
        <v>0.16703596386568945</v>
      </c>
      <c r="X9" s="24" cm="1">
        <f t="array" ref="X9">SUMPRODUCT(($B$6:$B$16=$R9)*($C$5:$N$5=X$5)*($C$6:$N$16))/ SUMPRODUCT(($B$6:$B$16=$R$16)*($C$5:$N$5=X$5)*($C$6:$N$16))*100</f>
        <v>0.44545111362778411</v>
      </c>
      <c r="Y9" s="24" cm="1">
        <f t="array" ref="Y9">SUMPRODUCT(($B$6:$B$16=$R9)*($C$5:$N$5=Y$5)*($C$6:$N$16))/ SUMPRODUCT(($B$6:$B$16=$R$16)*($C$5:$N$5=Y$5)*($C$6:$N$16))*100</f>
        <v>1.1712344811431248E-2</v>
      </c>
      <c r="Z9" s="24" cm="1">
        <f t="array" ref="Z9">SUMPRODUCT(($B$6:$B$16=$R9)*($C$5:$N$5=Z$5)*($C$6:$N$16))/ SUMPRODUCT(($B$6:$B$16=$R$16)*($C$5:$N$5=Z$5)*($C$6:$N$16))*100</f>
        <v>1.81113485710146E-2</v>
      </c>
      <c r="AA9" s="24" cm="1">
        <f t="array" ref="AA9">SUMPRODUCT(($B$6:$B$16=$R9)*($C$5:$N$5=AA$5)*($C$6:$N$16))/ SUMPRODUCT(($B$6:$B$16=$R$16)*($C$5:$N$5=AA$5)*($C$6:$N$16))*100</f>
        <v>0.10868974512254767</v>
      </c>
      <c r="AB9" s="24" cm="1">
        <f t="array" ref="AB9">SUMPRODUCT(($B$6:$B$16=$R9)*($C$5:$N$5=AB$5)*($C$6:$N$16))/ SUMPRODUCT(($B$6:$B$16=$R$16)*($C$5:$N$5=AB$5)*($C$6:$N$16))*100</f>
        <v>0.22909077252412963</v>
      </c>
      <c r="AC9" s="24" cm="1">
        <f t="array" ref="AC9">SUMPRODUCT(($B$6:$B$16=$R9)*($C$5:$N$5=AC$5)*($C$6:$N$16))/ SUMPRODUCT(($B$6:$B$16=$R$16)*($C$5:$N$5=AC$5)*($C$6:$N$16))*100</f>
        <v>0.76193291765211779</v>
      </c>
      <c r="AD9" s="24" cm="1">
        <f t="array" ref="AD9">SUMPRODUCT(($B$6:$B$16=$R9)*($C$5:$N$5=AD$5)*($C$6:$N$16))/ SUMPRODUCT(($B$6:$B$16=$R$16)*($C$5:$N$5=AD$5)*($C$6:$N$16))*100</f>
        <v>1.01410828409502</v>
      </c>
      <c r="AE9" s="24" cm="1">
        <f t="array" ref="AE9">SUMPRODUCT(($B$6:$B$16=$R9)*($C$5:$O$5=AE$5)*($C$6:$O$16))/ SUMPRODUCT(($B$6:$B$16=$R$16)*($C$5:$O$5=AE$5)*($C$6:$O$16))*100</f>
        <v>0.72150781869451941</v>
      </c>
    </row>
    <row r="10" spans="1:31" x14ac:dyDescent="0.3">
      <c r="A10" t="s">
        <v>30</v>
      </c>
      <c r="B10" s="1" t="s">
        <v>16</v>
      </c>
      <c r="C10" s="10">
        <v>341</v>
      </c>
      <c r="D10" s="10">
        <v>511</v>
      </c>
      <c r="E10" s="22">
        <v>168</v>
      </c>
      <c r="F10" s="19">
        <v>146</v>
      </c>
      <c r="G10" s="19">
        <v>10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1">
        <v>32</v>
      </c>
      <c r="O10" s="15">
        <f t="shared" si="4"/>
        <v>1208</v>
      </c>
      <c r="R10" t="str">
        <f t="shared" si="5"/>
        <v>Spillvarme (Rockwool)</v>
      </c>
      <c r="S10" s="24" cm="1">
        <f t="array" ref="S10">SUMPRODUCT(($B$6:$B$16=$R10)*($C$5:$N$5=S$5)*($C$6:$N$16))/ SUMPRODUCT(($B$6:$B$16=$R$16)*($C$5:$N$5=S$5)*($C$6:$N$16))*100</f>
        <v>0.33542193325005165</v>
      </c>
      <c r="T10" s="24" cm="1">
        <f t="array" ref="T10">SUMPRODUCT(($B$6:$B$16=$R10)*($C$5:$N$5=T$5)*($C$6:$N$16))/ SUMPRODUCT(($B$6:$B$16=$R$16)*($C$5:$N$5=T$5)*($C$6:$N$16))*100</f>
        <v>0.582395915250567</v>
      </c>
      <c r="U10" s="24" cm="1">
        <f t="array" ref="U10">SUMPRODUCT(($B$6:$B$16=$R10)*($C$5:$N$5=U$5)*($C$6:$N$16))/ SUMPRODUCT(($B$6:$B$16=$R$16)*($C$5:$N$5=U$5)*($C$6:$N$16))*100</f>
        <v>0.24816828173008743</v>
      </c>
      <c r="V10" s="24" cm="1">
        <f t="array" ref="V10">SUMPRODUCT(($B$6:$B$16=$R10)*($C$5:$N$5=V$5)*($C$6:$N$16))/ SUMPRODUCT(($B$6:$B$16=$R$16)*($C$5:$N$5=V$5)*($C$6:$N$16))*100</f>
        <v>0.25431995540691194</v>
      </c>
      <c r="W10" s="24" cm="1">
        <f t="array" ref="W10">SUMPRODUCT(($B$6:$B$16=$R10)*($C$5:$N$5=W$5)*($C$6:$N$16))/ SUMPRODUCT(($B$6:$B$16=$R$16)*($C$5:$N$5=W$5)*($C$6:$N$16))*100</f>
        <v>3.4088972217487641E-2</v>
      </c>
      <c r="X10" s="24" cm="1">
        <f t="array" ref="X10">SUMPRODUCT(($B$6:$B$16=$R10)*($C$5:$N$5=X$5)*($C$6:$N$16))/ SUMPRODUCT(($B$6:$B$16=$R$16)*($C$5:$N$5=X$5)*($C$6:$N$16))*100</f>
        <v>0</v>
      </c>
      <c r="Y10" s="24" cm="1">
        <f t="array" ref="Y10">SUMPRODUCT(($B$6:$B$16=$R10)*($C$5:$N$5=Y$5)*($C$6:$N$16))/ SUMPRODUCT(($B$6:$B$16=$R$16)*($C$5:$N$5=Y$5)*($C$6:$N$16))*100</f>
        <v>0</v>
      </c>
      <c r="Z10" s="24" cm="1">
        <f t="array" ref="Z10">SUMPRODUCT(($B$6:$B$16=$R10)*($C$5:$N$5=Z$5)*($C$6:$N$16))/ SUMPRODUCT(($B$6:$B$16=$R$16)*($C$5:$N$5=Z$5)*($C$6:$N$16))*100</f>
        <v>0</v>
      </c>
      <c r="AA10" s="24" cm="1">
        <f t="array" ref="AA10">SUMPRODUCT(($B$6:$B$16=$R10)*($C$5:$N$5=AA$5)*($C$6:$N$16))/ SUMPRODUCT(($B$6:$B$16=$R$16)*($C$5:$N$5=AA$5)*($C$6:$N$16))*100</f>
        <v>0</v>
      </c>
      <c r="AB10" s="24" cm="1">
        <f t="array" ref="AB10">SUMPRODUCT(($B$6:$B$16=$R10)*($C$5:$N$5=AB$5)*($C$6:$N$16))/ SUMPRODUCT(($B$6:$B$16=$R$16)*($C$5:$N$5=AB$5)*($C$6:$N$16))*100</f>
        <v>0</v>
      </c>
      <c r="AC10" s="24" cm="1">
        <f t="array" ref="AC10">SUMPRODUCT(($B$6:$B$16=$R10)*($C$5:$N$5=AC$5)*($C$6:$N$16))/ SUMPRODUCT(($B$6:$B$16=$R$16)*($C$5:$N$5=AC$5)*($C$6:$N$16))*100</f>
        <v>0</v>
      </c>
      <c r="AD10" s="24" cm="1">
        <f t="array" ref="AD10">SUMPRODUCT(($B$6:$B$16=$R10)*($C$5:$N$5=AD$5)*($C$6:$N$16))/ SUMPRODUCT(($B$6:$B$16=$R$16)*($C$5:$N$5=AD$5)*($C$6:$N$16))*100</f>
        <v>3.8586759918003137E-2</v>
      </c>
      <c r="AE10" s="24" cm="1">
        <f t="array" ref="AE10">SUMPRODUCT(($B$6:$B$16=$R10)*($C$5:$O$5=AE$5)*($C$6:$O$16))/ SUMPRODUCT(($B$6:$B$16=$R$16)*($C$5:$O$5=AE$5)*($C$6:$O$16))*100</f>
        <v>0.18004161226667623</v>
      </c>
    </row>
    <row r="11" spans="1:31" x14ac:dyDescent="0.3">
      <c r="A11" t="s">
        <v>31</v>
      </c>
      <c r="B11" s="1" t="s">
        <v>17</v>
      </c>
      <c r="C11" s="10">
        <v>146</v>
      </c>
      <c r="D11" s="10">
        <v>133</v>
      </c>
      <c r="E11" s="22">
        <v>47</v>
      </c>
      <c r="F11" s="19">
        <v>0</v>
      </c>
      <c r="G11" s="19">
        <v>0</v>
      </c>
      <c r="H11" s="19">
        <v>0</v>
      </c>
      <c r="I11" s="19">
        <v>0</v>
      </c>
      <c r="J11" s="19">
        <v>215</v>
      </c>
      <c r="K11" s="19">
        <v>259</v>
      </c>
      <c r="L11" s="19">
        <v>221</v>
      </c>
      <c r="M11" s="19">
        <v>179</v>
      </c>
      <c r="N11" s="11">
        <v>191</v>
      </c>
      <c r="O11" s="15">
        <f t="shared" si="4"/>
        <v>1391</v>
      </c>
      <c r="R11" t="str">
        <f t="shared" si="5"/>
        <v>Varmepumpe</v>
      </c>
      <c r="S11" s="24" cm="1">
        <f t="array" ref="S11">SUMPRODUCT(($B$6:$B$16=$R11)*($C$5:$N$5=S$5)*($C$6:$N$16))/ SUMPRODUCT(($B$6:$B$16=$R$16)*($C$5:$N$5=S$5)*($C$6:$N$16))*100</f>
        <v>0.14361173681673767</v>
      </c>
      <c r="T11" s="24" cm="1">
        <f t="array" ref="T11">SUMPRODUCT(($B$6:$B$16=$R11)*($C$5:$N$5=T$5)*($C$6:$N$16))/ SUMPRODUCT(($B$6:$B$16=$R$16)*($C$5:$N$5=T$5)*($C$6:$N$16))*100</f>
        <v>0.1515824984898736</v>
      </c>
      <c r="U11" s="24" cm="1">
        <f t="array" ref="U11">SUMPRODUCT(($B$6:$B$16=$R11)*($C$5:$N$5=U$5)*($C$6:$N$16))/ SUMPRODUCT(($B$6:$B$16=$R$16)*($C$5:$N$5=U$5)*($C$6:$N$16))*100</f>
        <v>6.9428031198298282E-2</v>
      </c>
      <c r="V11" s="24" cm="1">
        <f t="array" ref="V11">SUMPRODUCT(($B$6:$B$16=$R11)*($C$5:$N$5=V$5)*($C$6:$N$16))/ SUMPRODUCT(($B$6:$B$16=$R$16)*($C$5:$N$5=V$5)*($C$6:$N$16))*100</f>
        <v>0</v>
      </c>
      <c r="W11" s="24" cm="1">
        <f t="array" ref="W11">SUMPRODUCT(($B$6:$B$16=$R11)*($C$5:$N$5=W$5)*($C$6:$N$16))/ SUMPRODUCT(($B$6:$B$16=$R$16)*($C$5:$N$5=W$5)*($C$6:$N$16))*100</f>
        <v>0</v>
      </c>
      <c r="X11" s="24" cm="1">
        <f t="array" ref="X11">SUMPRODUCT(($B$6:$B$16=$R11)*($C$5:$N$5=X$5)*($C$6:$N$16))/ SUMPRODUCT(($B$6:$B$16=$R$16)*($C$5:$N$5=X$5)*($C$6:$N$16))*100</f>
        <v>0</v>
      </c>
      <c r="Y11" s="24" cm="1">
        <f t="array" ref="Y11">SUMPRODUCT(($B$6:$B$16=$R11)*($C$5:$N$5=Y$5)*($C$6:$N$16))/ SUMPRODUCT(($B$6:$B$16=$R$16)*($C$5:$N$5=Y$5)*($C$6:$N$16))*100</f>
        <v>0</v>
      </c>
      <c r="Z11" s="24" cm="1">
        <f t="array" ref="Z11">SUMPRODUCT(($B$6:$B$16=$R11)*($C$5:$N$5=Z$5)*($C$6:$N$16))/ SUMPRODUCT(($B$6:$B$16=$R$16)*($C$5:$N$5=Z$5)*($C$6:$N$16))*100</f>
        <v>0.77878798855362774</v>
      </c>
      <c r="AA11" s="24" cm="1">
        <f t="array" ref="AA11">SUMPRODUCT(($B$6:$B$16=$R11)*($C$5:$N$5=AA$5)*($C$6:$N$16))/ SUMPRODUCT(($B$6:$B$16=$R$16)*($C$5:$N$5=AA$5)*($C$6:$N$16))*100</f>
        <v>0.70376609966849635</v>
      </c>
      <c r="AB11" s="24" cm="1">
        <f t="array" ref="AB11">SUMPRODUCT(($B$6:$B$16=$R11)*($C$5:$N$5=AB$5)*($C$6:$N$16))/ SUMPRODUCT(($B$6:$B$16=$R$16)*($C$5:$N$5=AB$5)*($C$6:$N$16))*100</f>
        <v>0.4149923010478086</v>
      </c>
      <c r="AC11" s="24" cm="1">
        <f t="array" ref="AC11">SUMPRODUCT(($B$6:$B$16=$R11)*($C$5:$N$5=AC$5)*($C$6:$N$16))/ SUMPRODUCT(($B$6:$B$16=$R$16)*($C$5:$N$5=AC$5)*($C$6:$N$16))*100</f>
        <v>0.24053966888841111</v>
      </c>
      <c r="AD11" s="24" cm="1">
        <f t="array" ref="AD11">SUMPRODUCT(($B$6:$B$16=$R11)*($C$5:$N$5=AD$5)*($C$6:$N$16))/ SUMPRODUCT(($B$6:$B$16=$R$16)*($C$5:$N$5=AD$5)*($C$6:$N$16))*100</f>
        <v>0.23031472326058119</v>
      </c>
      <c r="AE11" s="24" cm="1">
        <f t="array" ref="AE11">SUMPRODUCT(($B$6:$B$16=$R11)*($C$5:$O$5=AE$5)*($C$6:$O$16))/ SUMPRODUCT(($B$6:$B$16=$R$16)*($C$5:$O$5=AE$5)*($C$6:$O$16))*100</f>
        <v>0.20731612803224056</v>
      </c>
    </row>
    <row r="12" spans="1:31" x14ac:dyDescent="0.3">
      <c r="A12" t="s">
        <v>32</v>
      </c>
      <c r="B12" s="1" t="s">
        <v>25</v>
      </c>
      <c r="C12" s="8">
        <v>29113</v>
      </c>
      <c r="D12" s="8">
        <v>26563</v>
      </c>
      <c r="E12" s="21">
        <v>12034</v>
      </c>
      <c r="F12" s="18">
        <v>8843</v>
      </c>
      <c r="G12" s="19">
        <v>79</v>
      </c>
      <c r="H12" s="18">
        <v>4617</v>
      </c>
      <c r="I12" s="19">
        <v>15</v>
      </c>
      <c r="J12" s="19">
        <v>17</v>
      </c>
      <c r="K12" s="18">
        <v>2191</v>
      </c>
      <c r="L12" s="18">
        <v>7425</v>
      </c>
      <c r="M12" s="18">
        <v>20897</v>
      </c>
      <c r="N12" s="9">
        <v>22508</v>
      </c>
      <c r="O12" s="15">
        <f t="shared" si="4"/>
        <v>134302</v>
      </c>
      <c r="R12" t="str">
        <f t="shared" si="5"/>
        <v>Elektrisitet</v>
      </c>
      <c r="S12" s="24" cm="1">
        <f t="array" ref="S12">SUMPRODUCT(($B$6:$B$16=$R12)*($C$5:$N$5=S$5)*($C$6:$N$16))/ SUMPRODUCT(($B$6:$B$16=$R$16)*($C$5:$N$5=S$5)*($C$6:$N$16))*100</f>
        <v>28.636770506477284</v>
      </c>
      <c r="T12" s="24" cm="1">
        <f t="array" ref="T12">SUMPRODUCT(($B$6:$B$16=$R12)*($C$5:$N$5=T$5)*($C$6:$N$16))/ SUMPRODUCT(($B$6:$B$16=$R$16)*($C$5:$N$5=T$5)*($C$6:$N$16))*100</f>
        <v>30.274330130725659</v>
      </c>
      <c r="U12" s="24" cm="1">
        <f t="array" ref="U12">SUMPRODUCT(($B$6:$B$16=$R12)*($C$5:$N$5=U$5)*($C$6:$N$16))/ SUMPRODUCT(($B$6:$B$16=$R$16)*($C$5:$N$5=U$5)*($C$6:$N$16))*100</f>
        <v>17.77653037107067</v>
      </c>
      <c r="V12" s="24" cm="1">
        <f t="array" ref="V12">SUMPRODUCT(($B$6:$B$16=$R12)*($C$5:$N$5=V$5)*($C$6:$N$16))/ SUMPRODUCT(($B$6:$B$16=$R$16)*($C$5:$N$5=V$5)*($C$6:$N$16))*100</f>
        <v>15.403776477146042</v>
      </c>
      <c r="W12" s="24" cm="1">
        <f t="array" ref="W12">SUMPRODUCT(($B$6:$B$16=$R12)*($C$5:$N$5=W$5)*($C$6:$N$16))/ SUMPRODUCT(($B$6:$B$16=$R$16)*($C$5:$N$5=W$5)*($C$6:$N$16))*100</f>
        <v>0.26930288051815238</v>
      </c>
      <c r="X12" s="24" cm="1">
        <f t="array" ref="X12">SUMPRODUCT(($B$6:$B$16=$R12)*($C$5:$N$5=X$5)*($C$6:$N$16))/ SUMPRODUCT(($B$6:$B$16=$R$16)*($C$5:$N$5=X$5)*($C$6:$N$16))*100</f>
        <v>17.42921857304643</v>
      </c>
      <c r="Y12" s="24" cm="1">
        <f t="array" ref="Y12">SUMPRODUCT(($B$6:$B$16=$R12)*($C$5:$N$5=Y$5)*($C$6:$N$16))/ SUMPRODUCT(($B$6:$B$16=$R$16)*($C$5:$N$5=Y$5)*($C$6:$N$16))*100</f>
        <v>5.8561724057156241E-2</v>
      </c>
      <c r="Z12" s="24" cm="1">
        <f t="array" ref="Z12">SUMPRODUCT(($B$6:$B$16=$R12)*($C$5:$N$5=Z$5)*($C$6:$N$16))/ SUMPRODUCT(($B$6:$B$16=$R$16)*($C$5:$N$5=Z$5)*($C$6:$N$16))*100</f>
        <v>6.1578585141449628E-2</v>
      </c>
      <c r="AA12" s="24" cm="1">
        <f t="array" ref="AA12">SUMPRODUCT(($B$6:$B$16=$R12)*($C$5:$N$5=AA$5)*($C$6:$N$16))/ SUMPRODUCT(($B$6:$B$16=$R$16)*($C$5:$N$5=AA$5)*($C$6:$N$16))*100</f>
        <v>5.953480789087549</v>
      </c>
      <c r="AB12" s="24" cm="1">
        <f t="array" ref="AB12">SUMPRODUCT(($B$6:$B$16=$R12)*($C$5:$N$5=AB$5)*($C$6:$N$16))/ SUMPRODUCT(($B$6:$B$16=$R$16)*($C$5:$N$5=AB$5)*($C$6:$N$16))*100</f>
        <v>13.942614639275924</v>
      </c>
      <c r="AC12" s="24" cm="1">
        <f t="array" ref="AC12">SUMPRODUCT(($B$6:$B$16=$R12)*($C$5:$N$5=AC$5)*($C$6:$N$16))/ SUMPRODUCT(($B$6:$B$16=$R$16)*($C$5:$N$5=AC$5)*($C$6:$N$16))*100</f>
        <v>28.081326596430877</v>
      </c>
      <c r="AD12" s="24" cm="1">
        <f t="array" ref="AD12">SUMPRODUCT(($B$6:$B$16=$R12)*($C$5:$N$5=AD$5)*($C$6:$N$16))/ SUMPRODUCT(($B$6:$B$16=$R$16)*($C$5:$N$5=AD$5)*($C$6:$N$16))*100</f>
        <v>27.140962257325459</v>
      </c>
      <c r="AE12" s="24" cm="1">
        <f t="array" ref="AE12">SUMPRODUCT(($B$6:$B$16=$R12)*($C$5:$O$5=AE$5)*($C$6:$O$16))/ SUMPRODUCT(($B$6:$B$16=$R$16)*($C$5:$O$5=AE$5)*($C$6:$O$16))*100</f>
        <v>20.016513750529096</v>
      </c>
    </row>
    <row r="13" spans="1:31" x14ac:dyDescent="0.3">
      <c r="A13" t="s">
        <v>18</v>
      </c>
      <c r="B13" s="1" t="s">
        <v>18</v>
      </c>
      <c r="C13" s="8">
        <v>3170</v>
      </c>
      <c r="D13" s="8">
        <v>1846</v>
      </c>
      <c r="E13" s="22">
        <v>601</v>
      </c>
      <c r="F13" s="19">
        <v>0</v>
      </c>
      <c r="G13" s="19">
        <v>1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1">
        <v>0</v>
      </c>
      <c r="O13" s="15">
        <f t="shared" si="4"/>
        <v>5618</v>
      </c>
      <c r="R13" t="str">
        <f t="shared" si="5"/>
        <v>LNG</v>
      </c>
      <c r="S13" s="24" cm="1">
        <f t="array" ref="S13">SUMPRODUCT(($B$6:$B$16=$R13)*($C$5:$N$5=S$5)*($C$6:$N$16))/ SUMPRODUCT(($B$6:$B$16=$R$16)*($C$5:$N$5=S$5)*($C$6:$N$16))*100</f>
        <v>3.1181452445825917</v>
      </c>
      <c r="T13" s="24" cm="1">
        <f t="array" ref="T13">SUMPRODUCT(($B$6:$B$16=$R13)*($C$5:$N$5=T$5)*($C$6:$N$16))/ SUMPRODUCT(($B$6:$B$16=$R$16)*($C$5:$N$5=T$5)*($C$6:$N$16))*100</f>
        <v>2.1039194903180953</v>
      </c>
      <c r="U13" s="24" cm="1">
        <f t="array" ref="U13">SUMPRODUCT(($B$6:$B$16=$R13)*($C$5:$N$5=U$5)*($C$6:$N$16))/ SUMPRODUCT(($B$6:$B$16=$R$16)*($C$5:$N$5=U$5)*($C$6:$N$16))*100</f>
        <v>0.88779248404632483</v>
      </c>
      <c r="V13" s="24" cm="1">
        <f t="array" ref="V13">SUMPRODUCT(($B$6:$B$16=$R13)*($C$5:$N$5=V$5)*($C$6:$N$16))/ SUMPRODUCT(($B$6:$B$16=$R$16)*($C$5:$N$5=V$5)*($C$6:$N$16))*100</f>
        <v>0</v>
      </c>
      <c r="W13" s="24" cm="1">
        <f t="array" ref="W13">SUMPRODUCT(($B$6:$B$16=$R13)*($C$5:$N$5=W$5)*($C$6:$N$16))/ SUMPRODUCT(($B$6:$B$16=$R$16)*($C$5:$N$5=W$5)*($C$6:$N$16))*100</f>
        <v>3.4088972217487645E-3</v>
      </c>
      <c r="X13" s="24" cm="1">
        <f t="array" ref="X13">SUMPRODUCT(($B$6:$B$16=$R13)*($C$5:$N$5=X$5)*($C$6:$N$16))/ SUMPRODUCT(($B$6:$B$16=$R$16)*($C$5:$N$5=X$5)*($C$6:$N$16))*100</f>
        <v>0</v>
      </c>
      <c r="Y13" s="24" cm="1">
        <f t="array" ref="Y13">SUMPRODUCT(($B$6:$B$16=$R13)*($C$5:$N$5=Y$5)*($C$6:$N$16))/ SUMPRODUCT(($B$6:$B$16=$R$16)*($C$5:$N$5=Y$5)*($C$6:$N$16))*100</f>
        <v>0</v>
      </c>
      <c r="Z13" s="24" cm="1">
        <f t="array" ref="Z13">SUMPRODUCT(($B$6:$B$16=$R13)*($C$5:$N$5=Z$5)*($C$6:$N$16))/ SUMPRODUCT(($B$6:$B$16=$R$16)*($C$5:$N$5=Z$5)*($C$6:$N$16))*100</f>
        <v>0</v>
      </c>
      <c r="AA13" s="24" cm="1">
        <f t="array" ref="AA13">SUMPRODUCT(($B$6:$B$16=$R13)*($C$5:$N$5=AA$5)*($C$6:$N$16))/ SUMPRODUCT(($B$6:$B$16=$R$16)*($C$5:$N$5=AA$5)*($C$6:$N$16))*100</f>
        <v>0</v>
      </c>
      <c r="AB13" s="24" cm="1">
        <f t="array" ref="AB13">SUMPRODUCT(($B$6:$B$16=$R13)*($C$5:$N$5=AB$5)*($C$6:$N$16))/ SUMPRODUCT(($B$6:$B$16=$R$16)*($C$5:$N$5=AB$5)*($C$6:$N$16))*100</f>
        <v>0</v>
      </c>
      <c r="AC13" s="24" cm="1">
        <f t="array" ref="AC13">SUMPRODUCT(($B$6:$B$16=$R13)*($C$5:$N$5=AC$5)*($C$6:$N$16))/ SUMPRODUCT(($B$6:$B$16=$R$16)*($C$5:$N$5=AC$5)*($C$6:$N$16))*100</f>
        <v>0</v>
      </c>
      <c r="AD13" s="24" cm="1">
        <f t="array" ref="AD13">SUMPRODUCT(($B$6:$B$16=$R13)*($C$5:$N$5=AD$5)*($C$6:$N$16))/ SUMPRODUCT(($B$6:$B$16=$R$16)*($C$5:$N$5=AD$5)*($C$6:$N$16))*100</f>
        <v>0</v>
      </c>
      <c r="AE13" s="24" cm="1">
        <f t="array" ref="AE13">SUMPRODUCT(($B$6:$B$16=$R13)*($C$5:$O$5=AE$5)*($C$6:$O$16))/ SUMPRODUCT(($B$6:$B$16=$R$16)*($C$5:$O$5=AE$5)*($C$6:$O$16))*100</f>
        <v>0.83731272989585015</v>
      </c>
    </row>
    <row r="14" spans="1:31" x14ac:dyDescent="0.3">
      <c r="A14" t="s">
        <v>19</v>
      </c>
      <c r="B14" s="1" t="s">
        <v>19</v>
      </c>
      <c r="C14" s="8">
        <v>10505</v>
      </c>
      <c r="D14" s="8">
        <v>7151</v>
      </c>
      <c r="E14" s="21">
        <v>1643</v>
      </c>
      <c r="F14" s="19">
        <v>917</v>
      </c>
      <c r="G14" s="19">
        <v>1</v>
      </c>
      <c r="H14" s="19">
        <v>0</v>
      </c>
      <c r="I14" s="19">
        <v>48</v>
      </c>
      <c r="J14" s="19">
        <v>28</v>
      </c>
      <c r="K14" s="19">
        <v>0</v>
      </c>
      <c r="L14" s="18">
        <v>1322</v>
      </c>
      <c r="M14" s="18">
        <v>4593</v>
      </c>
      <c r="N14" s="9">
        <v>5012</v>
      </c>
      <c r="O14" s="15">
        <f t="shared" si="4"/>
        <v>31220</v>
      </c>
      <c r="R14" t="str">
        <f t="shared" si="5"/>
        <v>LPG</v>
      </c>
      <c r="S14" s="24" cm="1">
        <f t="array" ref="S14">SUMPRODUCT(($B$6:$B$16=$R14)*($C$5:$N$5=S$5)*($C$6:$N$16))/ SUMPRODUCT(($B$6:$B$16=$R$16)*($C$5:$N$5=S$5)*($C$6:$N$16))*100</f>
        <v>10.333159556574172</v>
      </c>
      <c r="T14" s="24" cm="1">
        <f t="array" ref="T14">SUMPRODUCT(($B$6:$B$16=$R14)*($C$5:$N$5=T$5)*($C$6:$N$16))/ SUMPRODUCT(($B$6:$B$16=$R$16)*($C$5:$N$5=T$5)*($C$6:$N$16))*100</f>
        <v>8.1501236594066633</v>
      </c>
      <c r="U14" s="24" cm="1">
        <f t="array" ref="U14">SUMPRODUCT(($B$6:$B$16=$R14)*($C$5:$N$5=U$5)*($C$6:$N$16))/ SUMPRODUCT(($B$6:$B$16=$R$16)*($C$5:$N$5=U$5)*($C$6:$N$16))*100</f>
        <v>2.4270267076341288</v>
      </c>
      <c r="V14" s="24" cm="1">
        <f t="array" ref="V14">SUMPRODUCT(($B$6:$B$16=$R14)*($C$5:$N$5=V$5)*($C$6:$N$16))/ SUMPRODUCT(($B$6:$B$16=$R$16)*($C$5:$N$5=V$5)*($C$6:$N$16))*100</f>
        <v>1.5973383500557412</v>
      </c>
      <c r="W14" s="24" cm="1">
        <f t="array" ref="W14">SUMPRODUCT(($B$6:$B$16=$R14)*($C$5:$N$5=W$5)*($C$6:$N$16))/ SUMPRODUCT(($B$6:$B$16=$R$16)*($C$5:$N$5=W$5)*($C$6:$N$16))*100</f>
        <v>3.4088972217487645E-3</v>
      </c>
      <c r="X14" s="24" cm="1">
        <f t="array" ref="X14">SUMPRODUCT(($B$6:$B$16=$R14)*($C$5:$N$5=X$5)*($C$6:$N$16))/ SUMPRODUCT(($B$6:$B$16=$R$16)*($C$5:$N$5=X$5)*($C$6:$N$16))*100</f>
        <v>0</v>
      </c>
      <c r="Y14" s="24" cm="1">
        <f t="array" ref="Y14">SUMPRODUCT(($B$6:$B$16=$R14)*($C$5:$N$5=Y$5)*($C$6:$N$16))/ SUMPRODUCT(($B$6:$B$16=$R$16)*($C$5:$N$5=Y$5)*($C$6:$N$16))*100</f>
        <v>0.18739751698289997</v>
      </c>
      <c r="Z14" s="24" cm="1">
        <f t="array" ref="Z14">SUMPRODUCT(($B$6:$B$16=$R14)*($C$5:$N$5=Z$5)*($C$6:$N$16))/ SUMPRODUCT(($B$6:$B$16=$R$16)*($C$5:$N$5=Z$5)*($C$6:$N$16))*100</f>
        <v>0.10142355199768176</v>
      </c>
      <c r="AA14" s="24" cm="1">
        <f t="array" ref="AA14">SUMPRODUCT(($B$6:$B$16=$R14)*($C$5:$N$5=AA$5)*($C$6:$N$16))/ SUMPRODUCT(($B$6:$B$16=$R$16)*($C$5:$N$5=AA$5)*($C$6:$N$16))*100</f>
        <v>0</v>
      </c>
      <c r="AB14" s="24" cm="1">
        <f t="array" ref="AB14">SUMPRODUCT(($B$6:$B$16=$R14)*($C$5:$N$5=AB$5)*($C$6:$N$16))/ SUMPRODUCT(($B$6:$B$16=$R$16)*($C$5:$N$5=AB$5)*($C$6:$N$16))*100</f>
        <v>2.4824426334172083</v>
      </c>
      <c r="AC14" s="24" cm="1">
        <f t="array" ref="AC14">SUMPRODUCT(($B$6:$B$16=$R14)*($C$5:$N$5=AC$5)*($C$6:$N$16))/ SUMPRODUCT(($B$6:$B$16=$R$16)*($C$5:$N$5=AC$5)*($C$6:$N$16))*100</f>
        <v>6.1720597720920232</v>
      </c>
      <c r="AD14" s="24" cm="1">
        <f t="array" ref="AD14">SUMPRODUCT(($B$6:$B$16=$R14)*($C$5:$N$5=AD$5)*($C$6:$N$16))/ SUMPRODUCT(($B$6:$B$16=$R$16)*($C$5:$N$5=AD$5)*($C$6:$N$16))*100</f>
        <v>6.0436512721572413</v>
      </c>
      <c r="AE14" s="24" cm="1">
        <f t="array" ref="AE14">SUMPRODUCT(($B$6:$B$16=$R14)*($C$5:$O$5=AE$5)*($C$6:$O$16))/ SUMPRODUCT(($B$6:$B$16=$R$16)*($C$5:$O$5=AE$5)*($C$6:$O$16))*100</f>
        <v>4.6530621978192315</v>
      </c>
    </row>
    <row r="15" spans="1:31" x14ac:dyDescent="0.3">
      <c r="A15" t="s">
        <v>33</v>
      </c>
      <c r="B15" s="1" t="s">
        <v>20</v>
      </c>
      <c r="C15" s="8">
        <v>3957</v>
      </c>
      <c r="D15" s="8">
        <v>2986</v>
      </c>
      <c r="E15" s="22">
        <v>23</v>
      </c>
      <c r="F15" s="19">
        <v>13</v>
      </c>
      <c r="G15" s="19">
        <v>0</v>
      </c>
      <c r="H15" s="19">
        <v>0</v>
      </c>
      <c r="I15" s="19">
        <v>7</v>
      </c>
      <c r="J15" s="19">
        <v>0</v>
      </c>
      <c r="K15" s="19">
        <v>0</v>
      </c>
      <c r="L15" s="19">
        <v>75</v>
      </c>
      <c r="M15" s="18">
        <v>1578</v>
      </c>
      <c r="N15" s="9">
        <v>2094</v>
      </c>
      <c r="O15" s="15">
        <f t="shared" si="4"/>
        <v>10733</v>
      </c>
      <c r="R15" t="str">
        <f t="shared" si="5"/>
        <v>Oljekjeler</v>
      </c>
      <c r="S15" s="24" cm="1">
        <f t="array" ref="S15">SUMPRODUCT(($B$6:$B$16=$R15)*($C$5:$N$5=S$5)*($C$6:$N$16))/ SUMPRODUCT(($B$6:$B$16=$R$16)*($C$5:$N$5=S$5)*($C$6:$N$16))*100</f>
        <v>3.8922715245467874</v>
      </c>
      <c r="T15" s="24" cm="1">
        <f t="array" ref="T15">SUMPRODUCT(($B$6:$B$16=$R15)*($C$5:$N$5=T$5)*($C$6:$N$16))/ SUMPRODUCT(($B$6:$B$16=$R$16)*($C$5:$N$5=T$5)*($C$6:$N$16))*100</f>
        <v>3.403198048802726</v>
      </c>
      <c r="U15" s="24" cm="1">
        <f t="array" ref="U15">SUMPRODUCT(($B$6:$B$16=$R15)*($C$5:$N$5=U$5)*($C$6:$N$16))/ SUMPRODUCT(($B$6:$B$16=$R$16)*($C$5:$N$5=U$5)*($C$6:$N$16))*100</f>
        <v>3.3975419522571493E-2</v>
      </c>
      <c r="V15" s="24" cm="1">
        <f t="array" ref="V15">SUMPRODUCT(($B$6:$B$16=$R15)*($C$5:$N$5=V$5)*($C$6:$N$16))/ SUMPRODUCT(($B$6:$B$16=$R$16)*($C$5:$N$5=V$5)*($C$6:$N$16))*100</f>
        <v>2.2644927536231884E-2</v>
      </c>
      <c r="W15" s="24" cm="1">
        <f t="array" ref="W15">SUMPRODUCT(($B$6:$B$16=$R15)*($C$5:$N$5=W$5)*($C$6:$N$16))/ SUMPRODUCT(($B$6:$B$16=$R$16)*($C$5:$N$5=W$5)*($C$6:$N$16))*100</f>
        <v>0</v>
      </c>
      <c r="X15" s="24" cm="1">
        <f t="array" ref="X15">SUMPRODUCT(($B$6:$B$16=$R15)*($C$5:$N$5=X$5)*($C$6:$N$16))/ SUMPRODUCT(($B$6:$B$16=$R$16)*($C$5:$N$5=X$5)*($C$6:$N$16))*100</f>
        <v>0</v>
      </c>
      <c r="Y15" s="24" cm="1">
        <f t="array" ref="Y15">SUMPRODUCT(($B$6:$B$16=$R15)*($C$5:$N$5=Y$5)*($C$6:$N$16))/ SUMPRODUCT(($B$6:$B$16=$R$16)*($C$5:$N$5=Y$5)*($C$6:$N$16))*100</f>
        <v>2.7328804560006248E-2</v>
      </c>
      <c r="Z15" s="24" cm="1">
        <f t="array" ref="Z15">SUMPRODUCT(($B$6:$B$16=$R15)*($C$5:$N$5=Z$5)*($C$6:$N$16))/ SUMPRODUCT(($B$6:$B$16=$R$16)*($C$5:$N$5=Z$5)*($C$6:$N$16))*100</f>
        <v>0</v>
      </c>
      <c r="AA15" s="24" cm="1">
        <f t="array" ref="AA15">SUMPRODUCT(($B$6:$B$16=$R15)*($C$5:$N$5=AA$5)*($C$6:$N$16))/ SUMPRODUCT(($B$6:$B$16=$R$16)*($C$5:$N$5=AA$5)*($C$6:$N$16))*100</f>
        <v>0</v>
      </c>
      <c r="AB15" s="24" cm="1">
        <f t="array" ref="AB15">SUMPRODUCT(($B$6:$B$16=$R15)*($C$5:$N$5=AB$5)*($C$6:$N$16))/ SUMPRODUCT(($B$6:$B$16=$R$16)*($C$5:$N$5=AB$5)*($C$6:$N$16))*100</f>
        <v>0.14083449130581741</v>
      </c>
      <c r="AC15" s="24" cm="1">
        <f t="array" ref="AC15">SUMPRODUCT(($B$6:$B$16=$R15)*($C$5:$N$5=AC$5)*($C$6:$N$16))/ SUMPRODUCT(($B$6:$B$16=$R$16)*($C$5:$N$5=AC$5)*($C$6:$N$16))*100</f>
        <v>2.1205117179101269</v>
      </c>
      <c r="AD15" s="24" cm="1">
        <f t="array" ref="AD15">SUMPRODUCT(($B$6:$B$16=$R15)*($C$5:$N$5=AD$5)*($C$6:$N$16))/ SUMPRODUCT(($B$6:$B$16=$R$16)*($C$5:$N$5=AD$5)*($C$6:$N$16))*100</f>
        <v>2.5250211021343301</v>
      </c>
      <c r="AE15" s="24" cm="1">
        <f t="array" ref="AE15">SUMPRODUCT(($B$6:$B$16=$R15)*($C$5:$O$5=AE$5)*($C$6:$O$16))/ SUMPRODUCT(($B$6:$B$16=$R$16)*($C$5:$O$5=AE$5)*($C$6:$O$16))*100</f>
        <v>1.5996578017038374</v>
      </c>
    </row>
    <row r="16" spans="1:31" ht="15" thickBot="1" x14ac:dyDescent="0.35">
      <c r="A16" t="s">
        <v>13</v>
      </c>
      <c r="B16" s="3" t="s">
        <v>13</v>
      </c>
      <c r="C16" s="12">
        <f>SUM(C6:C15)</f>
        <v>101663</v>
      </c>
      <c r="D16" s="12">
        <f t="shared" ref="D16:N16" si="6">SUM(D6:D15)</f>
        <v>87741</v>
      </c>
      <c r="E16" s="16">
        <f t="shared" si="6"/>
        <v>67696</v>
      </c>
      <c r="F16" s="20">
        <f t="shared" si="6"/>
        <v>57408</v>
      </c>
      <c r="G16" s="20">
        <f t="shared" si="6"/>
        <v>29335</v>
      </c>
      <c r="H16" s="20">
        <f t="shared" si="6"/>
        <v>26490</v>
      </c>
      <c r="I16" s="20">
        <f t="shared" si="6"/>
        <v>25614</v>
      </c>
      <c r="J16" s="20">
        <f t="shared" si="6"/>
        <v>27607</v>
      </c>
      <c r="K16" s="20">
        <f t="shared" si="6"/>
        <v>36802</v>
      </c>
      <c r="L16" s="20">
        <f t="shared" si="6"/>
        <v>53254</v>
      </c>
      <c r="M16" s="20">
        <f t="shared" si="6"/>
        <v>74416</v>
      </c>
      <c r="N16" s="13">
        <f t="shared" si="6"/>
        <v>82930</v>
      </c>
      <c r="O16" s="16">
        <f>SUM(O6:O15)</f>
        <v>670956</v>
      </c>
      <c r="R16" t="str">
        <f>B16</f>
        <v>Sum</v>
      </c>
      <c r="S16" s="24" cm="1">
        <f t="array" ref="S16">SUMPRODUCT(($B$6:$B$16=$R16)*($C$5:$N$5=S$5)*($C$6:$N$16))/ SUMPRODUCT(($B$6:$B$16=$R$16)*($C$5:$N$5=S$5)*($C$6:$N$16))*100</f>
        <v>100</v>
      </c>
      <c r="T16" s="24" cm="1">
        <f t="array" ref="T16">SUMPRODUCT(($B$6:$B$16=$R16)*($C$5:$N$5=T$5)*($C$6:$N$16))/ SUMPRODUCT(($B$6:$B$16=$R$16)*($C$5:$N$5=T$5)*($C$6:$N$16))*100</f>
        <v>100</v>
      </c>
      <c r="U16" s="24" cm="1">
        <f t="array" ref="U16">SUMPRODUCT(($B$6:$B$16=$R16)*($C$5:$N$5=U$5)*($C$6:$N$16))/ SUMPRODUCT(($B$6:$B$16=$R$16)*($C$5:$N$5=U$5)*($C$6:$N$16))*100</f>
        <v>100</v>
      </c>
      <c r="V16" s="24" cm="1">
        <f t="array" ref="V16">SUMPRODUCT(($B$6:$B$16=$R16)*($C$5:$N$5=V$5)*($C$6:$N$16))/ SUMPRODUCT(($B$6:$B$16=$R$16)*($C$5:$N$5=V$5)*($C$6:$N$16))*100</f>
        <v>100</v>
      </c>
      <c r="W16" s="24" cm="1">
        <f t="array" ref="W16">SUMPRODUCT(($B$6:$B$16=$R16)*($C$5:$N$5=W$5)*($C$6:$N$16))/ SUMPRODUCT(($B$6:$B$16=$R$16)*($C$5:$N$5=W$5)*($C$6:$N$16))*100</f>
        <v>100</v>
      </c>
      <c r="X16" s="24" cm="1">
        <f t="array" ref="X16">SUMPRODUCT(($B$6:$B$16=$R16)*($C$5:$N$5=X$5)*($C$6:$N$16))/ SUMPRODUCT(($B$6:$B$16=$R$16)*($C$5:$N$5=X$5)*($C$6:$N$16))*100</f>
        <v>100</v>
      </c>
      <c r="Y16" s="24" cm="1">
        <f t="array" ref="Y16">SUMPRODUCT(($B$6:$B$16=$R16)*($C$5:$N$5=Y$5)*($C$6:$N$16))/ SUMPRODUCT(($B$6:$B$16=$R$16)*($C$5:$N$5=Y$5)*($C$6:$N$16))*100</f>
        <v>100</v>
      </c>
      <c r="Z16" s="24" cm="1">
        <f t="array" ref="Z16">SUMPRODUCT(($B$6:$B$16=$R16)*($C$5:$N$5=Z$5)*($C$6:$N$16))/ SUMPRODUCT(($B$6:$B$16=$R$16)*($C$5:$N$5=Z$5)*($C$6:$N$16))*100</f>
        <v>100</v>
      </c>
      <c r="AA16" s="24" cm="1">
        <f t="array" ref="AA16">SUMPRODUCT(($B$6:$B$16=$R16)*($C$5:$N$5=AA$5)*($C$6:$N$16))/ SUMPRODUCT(($B$6:$B$16=$R$16)*($C$5:$N$5=AA$5)*($C$6:$N$16))*100</f>
        <v>100</v>
      </c>
      <c r="AB16" s="24" cm="1">
        <f t="array" ref="AB16">SUMPRODUCT(($B$6:$B$16=$R16)*($C$5:$N$5=AB$5)*($C$6:$N$16))/ SUMPRODUCT(($B$6:$B$16=$R$16)*($C$5:$N$5=AB$5)*($C$6:$N$16))*100</f>
        <v>100</v>
      </c>
      <c r="AC16" s="24" cm="1">
        <f t="array" ref="AC16">SUMPRODUCT(($B$6:$B$16=$R16)*($C$5:$N$5=AC$5)*($C$6:$N$16))/ SUMPRODUCT(($B$6:$B$16=$R$16)*($C$5:$N$5=AC$5)*($C$6:$N$16))*100</f>
        <v>100</v>
      </c>
      <c r="AD16" s="24" cm="1">
        <f t="array" ref="AD16">SUMPRODUCT(($B$6:$B$16=$R16)*($C$5:$N$5=AD$5)*($C$6:$N$16))/ SUMPRODUCT(($B$6:$B$16=$R$16)*($C$5:$N$5=AD$5)*($C$6:$N$16))*100</f>
        <v>100</v>
      </c>
      <c r="AE16" s="24" cm="1">
        <f t="array" ref="AE16">SUMPRODUCT(($B$6:$B$16=$R16)*($C$5:$O$5=AE$5)*($C$6:$O$16))/ SUMPRODUCT(($B$6:$B$16=$R$16)*($C$5:$O$5=AE$5)*($C$6:$O$16))*100</f>
        <v>100</v>
      </c>
    </row>
    <row r="17" spans="16:16" ht="15" thickTop="1" x14ac:dyDescent="0.3"/>
    <row r="18" spans="16:16" x14ac:dyDescent="0.3">
      <c r="P18" s="23">
        <f>SUM(C6:E6)</f>
        <v>148665</v>
      </c>
    </row>
    <row r="19" spans="16:16" x14ac:dyDescent="0.3">
      <c r="P19" s="23">
        <f>SUM(F6:H6)</f>
        <v>97429</v>
      </c>
    </row>
    <row r="20" spans="16:16" x14ac:dyDescent="0.3">
      <c r="P20" s="23">
        <f>SUM(I6:K6)</f>
        <v>86685</v>
      </c>
    </row>
    <row r="21" spans="16:16" x14ac:dyDescent="0.3">
      <c r="P21" s="23">
        <f>SUM(L6:N6)</f>
        <v>142104</v>
      </c>
    </row>
    <row r="28" spans="16:16" x14ac:dyDescent="0.3">
      <c r="P28">
        <v>669879</v>
      </c>
    </row>
    <row r="29" spans="16:16" x14ac:dyDescent="0.3">
      <c r="P29">
        <f>P28/O16-1</f>
        <v>-1.6051723212848756E-3</v>
      </c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f8afab47-5f18-4dcb-9ef3-cd87045d98ab}" enabled="1" method="Standard" siteId="{a40c0d68-338e-44ef-ab17-812ee42d12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kopi</vt:lpstr>
    </vt:vector>
  </TitlesOfParts>
  <Company>Statkraft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Utne Åmund</dc:creator>
  <cp:lastModifiedBy>Yiyu Ding</cp:lastModifiedBy>
  <dcterms:created xsi:type="dcterms:W3CDTF">2025-01-14T09:50:56Z</dcterms:created>
  <dcterms:modified xsi:type="dcterms:W3CDTF">2026-04-12T20:13:51Z</dcterms:modified>
</cp:coreProperties>
</file>