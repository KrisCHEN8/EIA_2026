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gzhe\myprojects\EIA_2026\DH production mix\"/>
    </mc:Choice>
  </mc:AlternateContent>
  <xr:revisionPtr revIDLastSave="0" documentId="13_ncr:1_{12D74EA0-748A-462F-92CD-D266E123BCFF}" xr6:coauthVersionLast="47" xr6:coauthVersionMax="47" xr10:uidLastSave="{00000000-0000-0000-0000-000000000000}"/>
  <bookViews>
    <workbookView xWindow="-108" yWindow="-108" windowWidth="30936" windowHeight="16776" xr2:uid="{0BAD4DF6-C1CC-47F1-AAD5-4D25BF600979}"/>
  </bookViews>
  <sheets>
    <sheet name="Ark1" sheetId="1" r:id="rId1"/>
    <sheet name="ko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C21" i="1"/>
  <c r="D21" i="1"/>
  <c r="E21" i="1"/>
  <c r="F21" i="1"/>
  <c r="G21" i="1"/>
  <c r="H21" i="1"/>
  <c r="I21" i="1"/>
  <c r="J21" i="1"/>
  <c r="K21" i="1"/>
  <c r="L21" i="1"/>
  <c r="M21" i="1"/>
  <c r="C20" i="1"/>
  <c r="D20" i="1"/>
  <c r="E20" i="1"/>
  <c r="F20" i="1"/>
  <c r="G20" i="1"/>
  <c r="H20" i="1"/>
  <c r="I20" i="1"/>
  <c r="J20" i="1"/>
  <c r="K20" i="1"/>
  <c r="L20" i="1"/>
  <c r="M20" i="1"/>
  <c r="C19" i="1"/>
  <c r="D19" i="1"/>
  <c r="E19" i="1"/>
  <c r="F19" i="1"/>
  <c r="G19" i="1"/>
  <c r="H19" i="1"/>
  <c r="I19" i="1"/>
  <c r="J19" i="1"/>
  <c r="K19" i="1"/>
  <c r="L19" i="1"/>
  <c r="M19" i="1"/>
  <c r="B22" i="1"/>
  <c r="B21" i="1"/>
  <c r="B20" i="1"/>
  <c r="B19" i="1"/>
  <c r="M17" i="2"/>
  <c r="J17" i="2"/>
  <c r="G17" i="2"/>
  <c r="D17" i="2"/>
  <c r="AK5" i="2"/>
  <c r="AK4" i="2"/>
  <c r="AK3" i="2"/>
  <c r="AD14" i="2" l="1" a="1"/>
  <c r="AD14" i="2" s="1"/>
  <c r="AD15" i="2" a="1"/>
  <c r="AD15" i="2" s="1"/>
  <c r="AD5" i="2"/>
  <c r="T10" i="2" a="1"/>
  <c r="T10" i="2" s="1"/>
  <c r="V10" i="2" a="1"/>
  <c r="V10" i="2"/>
  <c r="Z12" i="2" a="1"/>
  <c r="Z12" i="2" s="1"/>
  <c r="Z15" i="2" a="1"/>
  <c r="Z15" i="2" s="1"/>
  <c r="AC15" i="2" a="1"/>
  <c r="AC15" i="2" s="1"/>
  <c r="U16" i="2" a="1"/>
  <c r="U16" i="2" s="1"/>
  <c r="AC5" i="2"/>
  <c r="AC6" i="2" s="1" a="1"/>
  <c r="AC6" i="2" s="1"/>
  <c r="W5" i="2"/>
  <c r="W10" i="2" s="1" a="1"/>
  <c r="W10" i="2" s="1"/>
  <c r="X5" i="2"/>
  <c r="Y5" i="2"/>
  <c r="Z5" i="2"/>
  <c r="AA5" i="2"/>
  <c r="AB5" i="2"/>
  <c r="S5" i="2"/>
  <c r="T5" i="2"/>
  <c r="U5" i="2"/>
  <c r="U12" i="2" s="1" a="1"/>
  <c r="U12" i="2" s="1"/>
  <c r="V5" i="2"/>
  <c r="R5" i="2"/>
  <c r="R6" i="2" s="1" a="1"/>
  <c r="R6" i="2" s="1"/>
  <c r="Q7" i="2"/>
  <c r="X7" i="2" s="1" a="1"/>
  <c r="X7" i="2" s="1"/>
  <c r="Q8" i="2"/>
  <c r="S8" i="2" s="1" a="1"/>
  <c r="S8" i="2" s="1"/>
  <c r="Q9" i="2"/>
  <c r="Q10" i="2"/>
  <c r="Q11" i="2"/>
  <c r="Z11" i="2" s="1" a="1"/>
  <c r="Z11" i="2" s="1"/>
  <c r="Q12" i="2"/>
  <c r="R12" i="2" s="1" a="1"/>
  <c r="R12" i="2" s="1"/>
  <c r="Q13" i="2"/>
  <c r="Q14" i="2"/>
  <c r="R14" i="2" s="1" a="1"/>
  <c r="R14" i="2" s="1"/>
  <c r="Q15" i="2"/>
  <c r="U15" i="2" s="1" a="1"/>
  <c r="U15" i="2" s="1"/>
  <c r="Q16" i="2"/>
  <c r="R16" i="2" s="1" a="1"/>
  <c r="R16" i="2" s="1"/>
  <c r="Q6" i="2"/>
  <c r="AA15" i="2" l="1" a="1"/>
  <c r="AA15" i="2" s="1"/>
  <c r="V14" i="2" a="1"/>
  <c r="V14" i="2" s="1"/>
  <c r="U10" i="2" a="1"/>
  <c r="U10" i="2" s="1"/>
  <c r="Y6" i="2" a="1"/>
  <c r="Y6" i="2" s="1"/>
  <c r="V6" i="2" a="1"/>
  <c r="V6" i="2" s="1"/>
  <c r="T6" i="2" a="1"/>
  <c r="T6" i="2" s="1"/>
  <c r="Y15" i="2" a="1"/>
  <c r="Y15" i="2" s="1"/>
  <c r="S14" i="2" a="1"/>
  <c r="S14" i="2" s="1"/>
  <c r="AA16" i="2" a="1"/>
  <c r="AA16" i="2" s="1"/>
  <c r="V15" i="2" a="1"/>
  <c r="V15" i="2" s="1"/>
  <c r="W8" i="2" a="1"/>
  <c r="W8" i="2" s="1"/>
  <c r="X13" i="2" a="1"/>
  <c r="X13" i="2" s="1"/>
  <c r="AB14" i="2" a="1"/>
  <c r="AB14" i="2" s="1"/>
  <c r="Z16" i="2" a="1"/>
  <c r="Z16" i="2" s="1"/>
  <c r="W15" i="2" a="1"/>
  <c r="W15" i="2" s="1"/>
  <c r="V12" i="2" a="1"/>
  <c r="V12" i="2" s="1"/>
  <c r="U7" i="2" a="1"/>
  <c r="U7" i="2" s="1"/>
  <c r="S10" i="2" a="1"/>
  <c r="S10" i="2" s="1"/>
  <c r="AA6" i="2" a="1"/>
  <c r="AA6" i="2" s="1"/>
  <c r="Y16" i="2" a="1"/>
  <c r="Y16" i="2" s="1"/>
  <c r="S15" i="2" a="1"/>
  <c r="S15" i="2" s="1"/>
  <c r="S11" i="2" a="1"/>
  <c r="S11" i="2" s="1"/>
  <c r="Z6" i="2" a="1"/>
  <c r="Z6" i="2" s="1"/>
  <c r="W16" i="2" a="1"/>
  <c r="W16" i="2" s="1"/>
  <c r="R15" i="2" a="1"/>
  <c r="R15" i="2" s="1"/>
  <c r="W11" i="2" a="1"/>
  <c r="W11" i="2" s="1"/>
  <c r="AD10" i="2" a="1"/>
  <c r="AD10" i="2" s="1"/>
  <c r="Z14" i="2" a="1"/>
  <c r="Z14" i="2" s="1"/>
  <c r="R11" i="2" a="1"/>
  <c r="R11" i="2" s="1"/>
  <c r="W14" i="2" a="1"/>
  <c r="W14" i="2" s="1"/>
  <c r="U6" i="2" a="1"/>
  <c r="U6" i="2" s="1"/>
  <c r="T14" i="2" a="1"/>
  <c r="T14" i="2" s="1"/>
  <c r="Y11" i="2" a="1"/>
  <c r="Y11" i="2" s="1"/>
  <c r="AD9" i="2" a="1"/>
  <c r="AD9" i="2" s="1"/>
  <c r="X10" i="2" a="1"/>
  <c r="X10" i="2" s="1"/>
  <c r="V16" i="2" a="1"/>
  <c r="V16" i="2" s="1"/>
  <c r="Y14" i="2" a="1"/>
  <c r="Y14" i="2" s="1"/>
  <c r="Y10" i="2" a="1"/>
  <c r="Y10" i="2" s="1"/>
  <c r="AD6" i="2" a="1"/>
  <c r="AD6" i="2" s="1"/>
  <c r="W13" i="2" a="1"/>
  <c r="W13" i="2" s="1"/>
  <c r="AB12" i="2" a="1"/>
  <c r="AB12" i="2" s="1"/>
  <c r="AB9" i="2" a="1"/>
  <c r="AB9" i="2" s="1"/>
  <c r="U9" i="2" a="1"/>
  <c r="U9" i="2" s="1"/>
  <c r="Z8" i="2" a="1"/>
  <c r="Z8" i="2" s="1"/>
  <c r="R8" i="2" a="1"/>
  <c r="R8" i="2" s="1"/>
  <c r="AD8" i="2" a="1"/>
  <c r="AD8" i="2" s="1"/>
  <c r="X6" i="2" a="1"/>
  <c r="X6" i="2" s="1"/>
  <c r="Y8" i="2" a="1"/>
  <c r="Y8" i="2" s="1"/>
  <c r="W7" i="2" a="1"/>
  <c r="W7" i="2" s="1"/>
  <c r="AD7" i="2" a="1"/>
  <c r="AD7" i="2" s="1"/>
  <c r="AB15" i="2" a="1"/>
  <c r="AB15" i="2" s="1"/>
  <c r="X14" i="2" a="1"/>
  <c r="X14" i="2" s="1"/>
  <c r="AC13" i="2" a="1"/>
  <c r="AC13" i="2" s="1"/>
  <c r="V13" i="2" a="1"/>
  <c r="V13" i="2" s="1"/>
  <c r="AA12" i="2" a="1"/>
  <c r="AA12" i="2" s="1"/>
  <c r="T12" i="2" a="1"/>
  <c r="T12" i="2" s="1"/>
  <c r="X11" i="2" a="1"/>
  <c r="X11" i="2" s="1"/>
  <c r="AC10" i="2" a="1"/>
  <c r="AC10" i="2" s="1"/>
  <c r="AA9" i="2" a="1"/>
  <c r="AA9" i="2" s="1"/>
  <c r="T9" i="2" a="1"/>
  <c r="T9" i="2" s="1"/>
  <c r="X8" i="2" a="1"/>
  <c r="X8" i="2" s="1"/>
  <c r="AC7" i="2" a="1"/>
  <c r="AC7" i="2" s="1"/>
  <c r="W6" i="2" a="1"/>
  <c r="W6" i="2" s="1"/>
  <c r="X16" i="2" a="1"/>
  <c r="X16" i="2" s="1"/>
  <c r="T15" i="2" a="1"/>
  <c r="T15" i="2" s="1"/>
  <c r="S12" i="2" a="1"/>
  <c r="S12" i="2" s="1"/>
  <c r="S9" i="2" a="1"/>
  <c r="S9" i="2" s="1"/>
  <c r="V7" i="2" a="1"/>
  <c r="V7" i="2" s="1"/>
  <c r="AD16" i="2" a="1"/>
  <c r="AD16" i="2" s="1"/>
  <c r="AA13" i="2" a="1"/>
  <c r="AA13" i="2" s="1"/>
  <c r="T13" i="2" a="1"/>
  <c r="T13" i="2" s="1"/>
  <c r="X12" i="2" a="1"/>
  <c r="X12" i="2" s="1"/>
  <c r="AC11" i="2" a="1"/>
  <c r="AC11" i="2" s="1"/>
  <c r="V11" i="2" a="1"/>
  <c r="V11" i="2" s="1"/>
  <c r="X9" i="2" a="1"/>
  <c r="X9" i="2" s="1"/>
  <c r="AA7" i="2" a="1"/>
  <c r="AA7" i="2" s="1"/>
  <c r="AB13" i="2" a="1"/>
  <c r="AB13" i="2" s="1"/>
  <c r="U13" i="2" a="1"/>
  <c r="U13" i="2" s="1"/>
  <c r="T7" i="2" a="1"/>
  <c r="T7" i="2" s="1"/>
  <c r="AD12" i="2" a="1"/>
  <c r="AD12" i="2" s="1"/>
  <c r="AB6" i="2" a="1"/>
  <c r="AB6" i="2" s="1"/>
  <c r="S6" i="2" a="1"/>
  <c r="S6" i="2" s="1"/>
  <c r="X15" i="2" a="1"/>
  <c r="X15" i="2" s="1"/>
  <c r="U14" i="2" a="1"/>
  <c r="U14" i="2" s="1"/>
  <c r="Z13" i="2" a="1"/>
  <c r="Z13" i="2" s="1"/>
  <c r="R13" i="2" a="1"/>
  <c r="R13" i="2" s="1"/>
  <c r="W12" i="2" a="1"/>
  <c r="W12" i="2" s="1"/>
  <c r="AB11" i="2" a="1"/>
  <c r="AB11" i="2" s="1"/>
  <c r="U11" i="2" a="1"/>
  <c r="U11" i="2" s="1"/>
  <c r="Z10" i="2" a="1"/>
  <c r="Z10" i="2" s="1"/>
  <c r="R10" i="2" a="1"/>
  <c r="R10" i="2" s="1"/>
  <c r="W9" i="2" a="1"/>
  <c r="W9" i="2" s="1"/>
  <c r="AB8" i="2" a="1"/>
  <c r="AB8" i="2" s="1"/>
  <c r="U8" i="2" a="1"/>
  <c r="U8" i="2" s="1"/>
  <c r="Z7" i="2" a="1"/>
  <c r="Z7" i="2" s="1"/>
  <c r="S7" i="2" a="1"/>
  <c r="S7" i="2" s="1"/>
  <c r="AD11" i="2" a="1"/>
  <c r="AD11" i="2" s="1"/>
  <c r="Y7" i="2" a="1"/>
  <c r="Y7" i="2" s="1"/>
  <c r="Z9" i="2" a="1"/>
  <c r="Z9" i="2" s="1"/>
  <c r="AB7" i="2" a="1"/>
  <c r="AB7" i="2" s="1"/>
  <c r="Y12" i="2" a="1"/>
  <c r="Y12" i="2" s="1"/>
  <c r="Y9" i="2" a="1"/>
  <c r="Y9" i="2" s="1"/>
  <c r="AC14" i="2" a="1"/>
  <c r="AC14" i="2" s="1"/>
  <c r="T16" i="2" a="1"/>
  <c r="T16" i="2" s="1"/>
  <c r="AA14" i="2" a="1"/>
  <c r="AA14" i="2" s="1"/>
  <c r="AC9" i="2" a="1"/>
  <c r="AC9" i="2" s="1"/>
  <c r="V9" i="2" a="1"/>
  <c r="V9" i="2" s="1"/>
  <c r="AA8" i="2" a="1"/>
  <c r="AA8" i="2" s="1"/>
  <c r="T8" i="2" a="1"/>
  <c r="T8" i="2" s="1"/>
  <c r="R7" i="2" a="1"/>
  <c r="R7" i="2" s="1"/>
  <c r="AB10" i="2" a="1"/>
  <c r="AB10" i="2" s="1"/>
  <c r="R9" i="2" a="1"/>
  <c r="R9" i="2" s="1"/>
  <c r="AA10" i="2" a="1"/>
  <c r="AA10" i="2" s="1"/>
  <c r="AC8" i="2" a="1"/>
  <c r="AC8" i="2" s="1"/>
  <c r="V8" i="2" a="1"/>
  <c r="V8" i="2" s="1"/>
  <c r="AD13" i="2" a="1"/>
  <c r="AD13" i="2" s="1"/>
  <c r="S13" i="2" a="1"/>
  <c r="S13" i="2" s="1"/>
  <c r="Y13" i="2" a="1"/>
  <c r="Y13" i="2" s="1"/>
  <c r="AC16" i="2" a="1"/>
  <c r="AC16" i="2" s="1"/>
  <c r="S16" i="2" a="1"/>
  <c r="S16" i="2" s="1"/>
  <c r="AC12" i="2" a="1"/>
  <c r="AC12" i="2" s="1"/>
  <c r="AA11" i="2" a="1"/>
  <c r="AA11" i="2" s="1"/>
  <c r="T11" i="2" a="1"/>
  <c r="T11" i="2" s="1"/>
  <c r="AB16" i="2" a="1"/>
  <c r="AB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Yiyu Ding</author>
  </authors>
  <commentList>
    <comment ref="AI3" authorId="0" shapeId="0" xr:uid="{64E9D9E6-F082-4AEB-A768-02A8A1100C8E}">
      <text>
        <r>
          <rPr>
            <b/>
            <sz val="9"/>
            <color indexed="81"/>
            <rFont val="Tahoma"/>
            <family val="2"/>
          </rPr>
          <t>Yiyu Ding:</t>
        </r>
        <r>
          <rPr>
            <sz val="9"/>
            <color indexed="81"/>
            <rFont val="Tahoma"/>
            <family val="2"/>
          </rPr>
          <t xml:space="preserve">
Det er ikke viktig med antall av stk kjel, men viktig med samlet kapasitet.
"Antall" som vist i den nye konsensjonen, er litt annedels.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<sst xmlns="http://schemas.openxmlformats.org/spreadsheetml/2006/main" count="112" uniqueCount="62">
  <si>
    <t>Oppsummering (MWh)</t>
  </si>
  <si>
    <t>Jan</t>
  </si>
  <si>
    <t>Feb</t>
  </si>
  <si>
    <t>Mar</t>
  </si>
  <si>
    <t>Apr</t>
  </si>
  <si>
    <t>Mai</t>
  </si>
  <si>
    <t>Juni</t>
  </si>
  <si>
    <t>Jul</t>
  </si>
  <si>
    <t>Aug</t>
  </si>
  <si>
    <t>Sep</t>
  </si>
  <si>
    <t>Okt</t>
  </si>
  <si>
    <t>Nov</t>
  </si>
  <si>
    <t>Des</t>
  </si>
  <si>
    <t>Sum</t>
  </si>
  <si>
    <t>Avfall</t>
  </si>
  <si>
    <t>Biogass</t>
  </si>
  <si>
    <t>Biokjel</t>
  </si>
  <si>
    <t>Bioolje</t>
  </si>
  <si>
    <t>Spillvarme (Rockwool)</t>
  </si>
  <si>
    <t>Varmepumpe</t>
  </si>
  <si>
    <t>LNG</t>
  </si>
  <si>
    <t>LPG</t>
  </si>
  <si>
    <t>Oljekjeler</t>
  </si>
  <si>
    <t>El-kjeler</t>
  </si>
  <si>
    <t>Energimiks MWh</t>
  </si>
  <si>
    <t>Fjernvarme Trondheim 2025</t>
  </si>
  <si>
    <t>Varmesentraler</t>
  </si>
  <si>
    <t>Ant.</t>
  </si>
  <si>
    <t>Energikilder</t>
  </si>
  <si>
    <t>Enhet</t>
  </si>
  <si>
    <t>Startår</t>
  </si>
  <si>
    <t>Ladehammeren vs</t>
  </si>
  <si>
    <t>biogass</t>
  </si>
  <si>
    <t>kjel</t>
  </si>
  <si>
    <t>Heimdal varmesentral</t>
  </si>
  <si>
    <t>avfall</t>
  </si>
  <si>
    <t>1985. nærmer utg på levetid</t>
  </si>
  <si>
    <t>kjel  econo.</t>
  </si>
  <si>
    <t>olje</t>
  </si>
  <si>
    <t>elek</t>
  </si>
  <si>
    <t>5500 m3</t>
  </si>
  <si>
    <t>Lagring</t>
  </si>
  <si>
    <t>Øya varmesentral</t>
  </si>
  <si>
    <t>Nidarvoll varmesentral</t>
  </si>
  <si>
    <t>Marienborg varmesentral</t>
  </si>
  <si>
    <t>bio</t>
  </si>
  <si>
    <t>Midtbyen varmesentral</t>
  </si>
  <si>
    <t>Brattøra varmesentral</t>
  </si>
  <si>
    <t>VP</t>
  </si>
  <si>
    <t>Lilleby varmesentral</t>
  </si>
  <si>
    <t>olje/gass</t>
  </si>
  <si>
    <t>2019?</t>
  </si>
  <si>
    <t>Dragvoll varmesentral</t>
  </si>
  <si>
    <t>Rockwool varmesentral</t>
  </si>
  <si>
    <t>spillvarme</t>
  </si>
  <si>
    <t>fra kupolovn</t>
  </si>
  <si>
    <t>Byåsen (vedtatt i 2023)</t>
  </si>
  <si>
    <t>10?</t>
  </si>
  <si>
    <t>https://webfileservice.nve.no/API/PublishedFiles/Download/2c030cca-7906-48cd-87bd-20cc94098e63/201002582/3448098</t>
  </si>
  <si>
    <t xml:space="preserve">Fjernvarmekonsesjon </t>
  </si>
  <si>
    <t>Kapasitet (MW), pr</t>
  </si>
  <si>
    <t>Samlet kapasitet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</si>
</sst>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ptos Narrow"/>
      <family val="2"/>
      <scheme val="minor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E70AEC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3" xfId="0" applyFont="1" applyBorder="1"/>
    <xf numFmtId="0" fontId="2" fillId="0" borderId="1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2" fillId="0" borderId="11" xfId="0" applyNumberFormat="1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0" fillId="0" borderId="16" xfId="0" applyBorder="1"/>
    <xf numFmtId="0" fontId="0" fillId="0" borderId="17" xfId="0" applyBorder="1"/>
    <xf numFmtId="0" fontId="6" fillId="0" borderId="17" xfId="0" applyFont="1" applyBorder="1"/>
    <xf numFmtId="0" fontId="7" fillId="0" borderId="0" xfId="0" applyFont="1"/>
    <xf numFmtId="0" fontId="0" fillId="3" borderId="0" xfId="0" applyFill="1"/>
    <xf numFmtId="0" fontId="0" fillId="0" borderId="2" xfId="0" applyBorder="1"/>
    <xf numFmtId="0" fontId="0" fillId="3" borderId="2" xfId="0" applyFill="1" applyBorder="1"/>
    <xf numFmtId="0" fontId="0" fillId="0" borderId="9" xfId="0" applyBorder="1"/>
    <xf numFmtId="0" fontId="0" fillId="4" borderId="9" xfId="0" applyFill="1" applyBorder="1"/>
    <xf numFmtId="0" fontId="0" fillId="5" borderId="9" xfId="0" applyFill="1" applyBorder="1"/>
    <xf numFmtId="0" fontId="0" fillId="3" borderId="9" xfId="0" applyFill="1" applyBorder="1"/>
    <xf numFmtId="0" fontId="8" fillId="0" borderId="9" xfId="0" applyFont="1" applyBorder="1"/>
    <xf numFmtId="0" fontId="0" fillId="0" borderId="18" xfId="0" applyBorder="1"/>
    <xf numFmtId="0" fontId="0" fillId="4" borderId="18" xfId="0" applyFill="1" applyBorder="1"/>
    <xf numFmtId="0" fontId="9" fillId="0" borderId="9" xfId="0" applyFont="1" applyBorder="1"/>
    <xf numFmtId="0" fontId="10" fillId="0" borderId="0" xfId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>
                <a:solidFill>
                  <a:sysClr val="windowText" lastClr="000000"/>
                </a:solidFill>
              </a:rPr>
              <a:t>Månedlig</a:t>
            </a:r>
            <a:r>
              <a:rPr lang="nb-NO" sz="1800" baseline="0">
                <a:solidFill>
                  <a:sysClr val="windowText" lastClr="000000"/>
                </a:solidFill>
              </a:rPr>
              <a:t> fjernvarme produksjon miks - 2024 </a:t>
            </a:r>
            <a:endParaRPr lang="nb-NO" sz="18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214919887195651"/>
          <c:y val="0.10014858927614546"/>
          <c:w val="0.86275617453395925"/>
          <c:h val="0.64962018482771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kopi!$A$6</c:f>
              <c:strCache>
                <c:ptCount val="1"/>
                <c:pt idx="0">
                  <c:v>Avfall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kopi!$B$6:$M$6</c:f>
              <c:numCache>
                <c:formatCode>#,##0</c:formatCode>
                <c:ptCount val="12"/>
                <c:pt idx="0">
                  <c:v>49338</c:v>
                </c:pt>
                <c:pt idx="1">
                  <c:v>44771</c:v>
                </c:pt>
                <c:pt idx="2">
                  <c:v>39622</c:v>
                </c:pt>
                <c:pt idx="3">
                  <c:v>38512</c:v>
                </c:pt>
                <c:pt idx="4">
                  <c:v>27194</c:v>
                </c:pt>
                <c:pt idx="5">
                  <c:v>18405</c:v>
                </c:pt>
                <c:pt idx="6">
                  <c:v>22921</c:v>
                </c:pt>
                <c:pt idx="7">
                  <c:v>24918</c:v>
                </c:pt>
                <c:pt idx="8">
                  <c:v>24518</c:v>
                </c:pt>
                <c:pt idx="9">
                  <c:v>38246</c:v>
                </c:pt>
                <c:pt idx="10">
                  <c:v>42247</c:v>
                </c:pt>
                <c:pt idx="11">
                  <c:v>46744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E-4A75-AF49-A7FC74A561F0}"/>
            </c:ext>
          </c:extLst>
        </c:ser>
        <c:ser>
          <c:idx val="1"/>
          <c:order val="1"/>
          <c:tx>
            <c:strRef>
              <c:f>kopi!$A$7</c:f>
              <c:strCache>
                <c:ptCount val="1"/>
                <c:pt idx="0">
                  <c:v>Biogass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kopi!$B$7:$M$7</c:f>
              <c:numCache>
                <c:formatCode>General</c:formatCode>
                <c:ptCount val="12"/>
                <c:pt idx="0">
                  <c:v>295</c:v>
                </c:pt>
                <c:pt idx="1">
                  <c:v>303</c:v>
                </c:pt>
                <c:pt idx="2">
                  <c:v>435</c:v>
                </c:pt>
                <c:pt idx="3">
                  <c:v>468</c:v>
                </c:pt>
                <c:pt idx="4">
                  <c:v>469</c:v>
                </c:pt>
                <c:pt idx="5">
                  <c:v>156</c:v>
                </c:pt>
                <c:pt idx="6">
                  <c:v>120</c:v>
                </c:pt>
                <c:pt idx="7">
                  <c:v>500</c:v>
                </c:pt>
                <c:pt idx="8">
                  <c:v>395</c:v>
                </c:pt>
                <c:pt idx="9">
                  <c:v>458</c:v>
                </c:pt>
                <c:pt idx="10">
                  <c:v>447</c:v>
                </c:pt>
                <c:pt idx="11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E-4A75-AF49-A7FC74A561F0}"/>
            </c:ext>
          </c:extLst>
        </c:ser>
        <c:ser>
          <c:idx val="2"/>
          <c:order val="2"/>
          <c:tx>
            <c:strRef>
              <c:f>kopi!$A$8</c:f>
              <c:strCache>
                <c:ptCount val="1"/>
                <c:pt idx="0">
                  <c:v>Biokjel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kopi!$B$8:$M$8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5E-4A75-AF49-A7FC74A561F0}"/>
            </c:ext>
          </c:extLst>
        </c:ser>
        <c:ser>
          <c:idx val="3"/>
          <c:order val="3"/>
          <c:tx>
            <c:strRef>
              <c:f>kopi!$A$9</c:f>
              <c:strCache>
                <c:ptCount val="1"/>
                <c:pt idx="0">
                  <c:v>Bioolje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kopi!$B$9:$M$9</c:f>
              <c:numCache>
                <c:formatCode>#,##0</c:formatCode>
                <c:ptCount val="12"/>
                <c:pt idx="0">
                  <c:v>2997</c:v>
                </c:pt>
                <c:pt idx="1">
                  <c:v>5679</c:v>
                </c:pt>
                <c:pt idx="2">
                  <c:v>6728</c:v>
                </c:pt>
                <c:pt idx="3" formatCode="General">
                  <c:v>67</c:v>
                </c:pt>
                <c:pt idx="4" formatCode="General">
                  <c:v>190</c:v>
                </c:pt>
                <c:pt idx="5" formatCode="General">
                  <c:v>0</c:v>
                </c:pt>
                <c:pt idx="6" formatCode="General">
                  <c:v>6</c:v>
                </c:pt>
                <c:pt idx="7" formatCode="General">
                  <c:v>11</c:v>
                </c:pt>
                <c:pt idx="8" formatCode="General">
                  <c:v>203</c:v>
                </c:pt>
                <c:pt idx="9" formatCode="General">
                  <c:v>132</c:v>
                </c:pt>
                <c:pt idx="10" formatCode="General">
                  <c:v>585</c:v>
                </c:pt>
                <c:pt idx="11" formatCode="General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5E-4A75-AF49-A7FC74A561F0}"/>
            </c:ext>
          </c:extLst>
        </c:ser>
        <c:ser>
          <c:idx val="4"/>
          <c:order val="4"/>
          <c:tx>
            <c:strRef>
              <c:f>kopi!$A$10</c:f>
              <c:strCache>
                <c:ptCount val="1"/>
                <c:pt idx="0">
                  <c:v>Spillvarme (Rockwool)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kopi!$B$10:$M$10</c:f>
              <c:numCache>
                <c:formatCode>General</c:formatCode>
                <c:ptCount val="12"/>
                <c:pt idx="0">
                  <c:v>237</c:v>
                </c:pt>
                <c:pt idx="1">
                  <c:v>299</c:v>
                </c:pt>
                <c:pt idx="2">
                  <c:v>111</c:v>
                </c:pt>
                <c:pt idx="3">
                  <c:v>809</c:v>
                </c:pt>
                <c:pt idx="4">
                  <c:v>297</c:v>
                </c:pt>
                <c:pt idx="5">
                  <c:v>207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5E-4A75-AF49-A7FC74A561F0}"/>
            </c:ext>
          </c:extLst>
        </c:ser>
        <c:ser>
          <c:idx val="5"/>
          <c:order val="5"/>
          <c:tx>
            <c:strRef>
              <c:f>kopi!$A$11</c:f>
              <c:strCache>
                <c:ptCount val="1"/>
                <c:pt idx="0">
                  <c:v>Varmepumpe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kopi!$B$11:$M$11</c:f>
              <c:numCache>
                <c:formatCode>General</c:formatCode>
                <c:ptCount val="12"/>
                <c:pt idx="0">
                  <c:v>194</c:v>
                </c:pt>
                <c:pt idx="1">
                  <c:v>164</c:v>
                </c:pt>
                <c:pt idx="2">
                  <c:v>197</c:v>
                </c:pt>
                <c:pt idx="3">
                  <c:v>97</c:v>
                </c:pt>
                <c:pt idx="4">
                  <c:v>82</c:v>
                </c:pt>
                <c:pt idx="5">
                  <c:v>83</c:v>
                </c:pt>
                <c:pt idx="6">
                  <c:v>228</c:v>
                </c:pt>
                <c:pt idx="7">
                  <c:v>215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5E-4A75-AF49-A7FC74A561F0}"/>
            </c:ext>
          </c:extLst>
        </c:ser>
        <c:ser>
          <c:idx val="6"/>
          <c:order val="6"/>
          <c:tx>
            <c:strRef>
              <c:f>kopi!$A$12</c:f>
              <c:strCache>
                <c:ptCount val="1"/>
                <c:pt idx="0">
                  <c:v>El-kjeler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kopi!$B$12:$M$12</c:f>
              <c:numCache>
                <c:formatCode>#,##0</c:formatCode>
                <c:ptCount val="12"/>
                <c:pt idx="0">
                  <c:v>26344</c:v>
                </c:pt>
                <c:pt idx="1">
                  <c:v>25718</c:v>
                </c:pt>
                <c:pt idx="2">
                  <c:v>21771</c:v>
                </c:pt>
                <c:pt idx="3">
                  <c:v>9904</c:v>
                </c:pt>
                <c:pt idx="4">
                  <c:v>13231</c:v>
                </c:pt>
                <c:pt idx="5">
                  <c:v>9671</c:v>
                </c:pt>
                <c:pt idx="6" formatCode="General">
                  <c:v>60</c:v>
                </c:pt>
                <c:pt idx="7">
                  <c:v>6390</c:v>
                </c:pt>
                <c:pt idx="8">
                  <c:v>5500</c:v>
                </c:pt>
                <c:pt idx="9">
                  <c:v>12008</c:v>
                </c:pt>
                <c:pt idx="10">
                  <c:v>22493</c:v>
                </c:pt>
                <c:pt idx="11">
                  <c:v>23607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5E-4A75-AF49-A7FC74A561F0}"/>
            </c:ext>
          </c:extLst>
        </c:ser>
        <c:ser>
          <c:idx val="7"/>
          <c:order val="7"/>
          <c:tx>
            <c:strRef>
              <c:f>kopi!$A$13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5E-4A75-AF49-A7FC74A561F0}"/>
            </c:ext>
          </c:extLst>
        </c:ser>
        <c:ser>
          <c:idx val="8"/>
          <c:order val="8"/>
          <c:tx>
            <c:strRef>
              <c:f>kopi!$A$14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kopi!$B$14:$M$14</c:f>
              <c:numCache>
                <c:formatCode>#,##0</c:formatCode>
                <c:ptCount val="12"/>
                <c:pt idx="0">
                  <c:v>9175</c:v>
                </c:pt>
                <c:pt idx="1">
                  <c:v>4181</c:v>
                </c:pt>
                <c:pt idx="2">
                  <c:v>1981</c:v>
                </c:pt>
                <c:pt idx="3">
                  <c:v>1782</c:v>
                </c:pt>
                <c:pt idx="4" formatCode="General">
                  <c:v>488</c:v>
                </c:pt>
                <c:pt idx="5" formatCode="General">
                  <c:v>339</c:v>
                </c:pt>
                <c:pt idx="6" formatCode="General">
                  <c:v>12</c:v>
                </c:pt>
                <c:pt idx="7" formatCode="General">
                  <c:v>979</c:v>
                </c:pt>
                <c:pt idx="8" formatCode="General">
                  <c:v>161</c:v>
                </c:pt>
                <c:pt idx="9" formatCode="General">
                  <c:v>81</c:v>
                </c:pt>
                <c:pt idx="10">
                  <c:v>5288</c:v>
                </c:pt>
                <c:pt idx="11">
                  <c:v>5413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5E-4A75-AF49-A7FC74A561F0}"/>
            </c:ext>
          </c:extLst>
        </c:ser>
        <c:ser>
          <c:idx val="9"/>
          <c:order val="9"/>
          <c:tx>
            <c:strRef>
              <c:f>kopi!$A$15</c:f>
              <c:strCache>
                <c:ptCount val="1"/>
                <c:pt idx="0">
                  <c:v>Oljekjeler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kopi!$B$15:$M$15</c:f>
              <c:numCache>
                <c:formatCode>#,##0</c:formatCode>
                <c:ptCount val="12"/>
                <c:pt idx="0">
                  <c:v>3410</c:v>
                </c:pt>
                <c:pt idx="1">
                  <c:v>1582</c:v>
                </c:pt>
                <c:pt idx="2" formatCode="General">
                  <c:v>238</c:v>
                </c:pt>
                <c:pt idx="3" formatCode="General">
                  <c:v>0</c:v>
                </c:pt>
                <c:pt idx="4" formatCode="General">
                  <c:v>11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9</c:v>
                </c:pt>
                <c:pt idx="10" formatCode="General">
                  <c:v>294</c:v>
                </c:pt>
                <c:pt idx="11" formatCode="General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D5E-4A75-AF49-A7FC74A56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41594432"/>
        <c:axId val="241578112"/>
      </c:barChart>
      <c:catAx>
        <c:axId val="2415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78112"/>
        <c:crosses val="autoZero"/>
        <c:auto val="1"/>
        <c:lblAlgn val="ctr"/>
        <c:lblOffset val="100"/>
        <c:noMultiLvlLbl val="0"/>
      </c:catAx>
      <c:valAx>
        <c:axId val="2415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600">
                    <a:solidFill>
                      <a:sysClr val="windowText" lastClr="000000"/>
                    </a:solidFill>
                  </a:rPr>
                  <a:t>Produksjon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929559450186296E-2"/>
          <c:y val="0.82091221940068138"/>
          <c:w val="0.97949985381010984"/>
          <c:h val="0.17776326329589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>
                <a:solidFill>
                  <a:sysClr val="windowText" lastClr="000000"/>
                </a:solidFill>
              </a:rPr>
              <a:t>Månedlig</a:t>
            </a:r>
            <a:r>
              <a:rPr lang="nb-NO" sz="1800" baseline="0">
                <a:solidFill>
                  <a:sysClr val="windowText" lastClr="000000"/>
                </a:solidFill>
              </a:rPr>
              <a:t> fjernvarme produksjon miks - 2024</a:t>
            </a:r>
            <a:endParaRPr lang="nb-NO" sz="18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9.2137946117052644E-2"/>
          <c:y val="0.10021813574138083"/>
          <c:w val="0.89211359631867126"/>
          <c:h val="0.651691645590661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kopi!$Q$6</c:f>
              <c:strCache>
                <c:ptCount val="1"/>
                <c:pt idx="0">
                  <c:v>Avfall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kopi!$R$6:$AC$6</c:f>
              <c:numCache>
                <c:formatCode>0.0</c:formatCode>
                <c:ptCount val="12"/>
                <c:pt idx="0">
                  <c:v>53.634090662028477</c:v>
                </c:pt>
                <c:pt idx="1">
                  <c:v>54.138602367679603</c:v>
                </c:pt>
                <c:pt idx="2">
                  <c:v>55.740472405497798</c:v>
                </c:pt>
                <c:pt idx="3">
                  <c:v>74.579290846065959</c:v>
                </c:pt>
                <c:pt idx="4">
                  <c:v>62.288698520317013</c:v>
                </c:pt>
                <c:pt idx="5">
                  <c:v>63.771179099823293</c:v>
                </c:pt>
                <c:pt idx="6">
                  <c:v>98.175354435259337</c:v>
                </c:pt>
                <c:pt idx="7">
                  <c:v>75.479356617090232</c:v>
                </c:pt>
                <c:pt idx="8">
                  <c:v>79.663384995288695</c:v>
                </c:pt>
                <c:pt idx="9">
                  <c:v>75.09080556809927</c:v>
                </c:pt>
                <c:pt idx="10">
                  <c:v>59.206782986476071</c:v>
                </c:pt>
                <c:pt idx="11">
                  <c:v>60.005905082221858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4-4F89-B980-A68DAF146636}"/>
            </c:ext>
          </c:extLst>
        </c:ser>
        <c:ser>
          <c:idx val="1"/>
          <c:order val="1"/>
          <c:tx>
            <c:strRef>
              <c:f>kopi!$Q$7</c:f>
              <c:strCache>
                <c:ptCount val="1"/>
                <c:pt idx="0">
                  <c:v>Biogass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kopi!$R$7:$AC$7</c:f>
              <c:numCache>
                <c:formatCode>0.0</c:formatCode>
                <c:ptCount val="12"/>
                <c:pt idx="0">
                  <c:v>0.32068703119904335</c:v>
                </c:pt>
                <c:pt idx="1">
                  <c:v>0.36639781370545488</c:v>
                </c:pt>
                <c:pt idx="2">
                  <c:v>0.61196066570065977</c:v>
                </c:pt>
                <c:pt idx="3">
                  <c:v>0.90629175623075586</c:v>
                </c:pt>
                <c:pt idx="4">
                  <c:v>1.0742590132392689</c:v>
                </c:pt>
                <c:pt idx="5">
                  <c:v>0.54052181144104494</c:v>
                </c:pt>
                <c:pt idx="6">
                  <c:v>0.5139846661241273</c:v>
                </c:pt>
                <c:pt idx="7">
                  <c:v>1.5145548723230242</c:v>
                </c:pt>
                <c:pt idx="8">
                  <c:v>1.2834259349514248</c:v>
                </c:pt>
                <c:pt idx="9">
                  <c:v>0.89922054463707235</c:v>
                </c:pt>
                <c:pt idx="10">
                  <c:v>0.62644523859575363</c:v>
                </c:pt>
                <c:pt idx="11">
                  <c:v>0.75225612652280516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4-4F89-B980-A68DAF146636}"/>
            </c:ext>
          </c:extLst>
        </c:ser>
        <c:ser>
          <c:idx val="2"/>
          <c:order val="2"/>
          <c:tx>
            <c:strRef>
              <c:f>kopi!$Q$8</c:f>
              <c:strCache>
                <c:ptCount val="1"/>
                <c:pt idx="0">
                  <c:v>Biokjel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kopi!$R$8:$AC$8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3.8847404828439229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4-4F89-B980-A68DAF146636}"/>
            </c:ext>
          </c:extLst>
        </c:ser>
        <c:ser>
          <c:idx val="3"/>
          <c:order val="3"/>
          <c:tx>
            <c:strRef>
              <c:f>kopi!$Q$9</c:f>
              <c:strCache>
                <c:ptCount val="1"/>
                <c:pt idx="0">
                  <c:v>Bioolje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kopi!$R$9:$AC$9</c:f>
              <c:numCache>
                <c:formatCode>0.0</c:formatCode>
                <c:ptCount val="12"/>
                <c:pt idx="0">
                  <c:v>3.257962822045875</c:v>
                </c:pt>
                <c:pt idx="1">
                  <c:v>6.867238231132931</c:v>
                </c:pt>
                <c:pt idx="2">
                  <c:v>9.4649916295035386</c:v>
                </c:pt>
                <c:pt idx="3">
                  <c:v>0.12974689672534326</c:v>
                </c:pt>
                <c:pt idx="4">
                  <c:v>0.43520087956388293</c:v>
                </c:pt>
                <c:pt idx="5">
                  <c:v>0</c:v>
                </c:pt>
                <c:pt idx="6">
                  <c:v>2.5699233306206364E-2</c:v>
                </c:pt>
                <c:pt idx="7">
                  <c:v>3.3320207191106531E-2</c:v>
                </c:pt>
                <c:pt idx="8">
                  <c:v>0.65958345517756767</c:v>
                </c:pt>
                <c:pt idx="9">
                  <c:v>0.25916399976439636</c:v>
                </c:pt>
                <c:pt idx="10">
                  <c:v>0.81984443977296606</c:v>
                </c:pt>
                <c:pt idx="11">
                  <c:v>1.2824298129629392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F4-4F89-B980-A68DAF146636}"/>
            </c:ext>
          </c:extLst>
        </c:ser>
        <c:ser>
          <c:idx val="4"/>
          <c:order val="4"/>
          <c:tx>
            <c:strRef>
              <c:f>kopi!$Q$10</c:f>
              <c:strCache>
                <c:ptCount val="1"/>
                <c:pt idx="0">
                  <c:v>Spillvarme (Rockwool)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kopi!$R$10:$AC$10</c:f>
              <c:numCache>
                <c:formatCode>0.0</c:formatCode>
                <c:ptCount val="12"/>
                <c:pt idx="0">
                  <c:v>0.25763669964126534</c:v>
                </c:pt>
                <c:pt idx="1">
                  <c:v>0.36156087887105942</c:v>
                </c:pt>
                <c:pt idx="2">
                  <c:v>0.1561554802132718</c:v>
                </c:pt>
                <c:pt idx="3">
                  <c:v>1.5666453649373535</c:v>
                </c:pt>
                <c:pt idx="4">
                  <c:v>0.68028769068670114</c:v>
                </c:pt>
                <c:pt idx="5">
                  <c:v>0.71723086518138668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F4-4F89-B980-A68DAF146636}"/>
            </c:ext>
          </c:extLst>
        </c:ser>
        <c:ser>
          <c:idx val="5"/>
          <c:order val="5"/>
          <c:tx>
            <c:strRef>
              <c:f>kopi!$Q$11</c:f>
              <c:strCache>
                <c:ptCount val="1"/>
                <c:pt idx="0">
                  <c:v>Varmepumpe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kopi!$R$11:$AC$11</c:f>
              <c:numCache>
                <c:formatCode>0.0</c:formatCode>
                <c:ptCount val="12"/>
                <c:pt idx="0">
                  <c:v>0.21089248831394716</c:v>
                </c:pt>
                <c:pt idx="1">
                  <c:v>0.19831432821021316</c:v>
                </c:pt>
                <c:pt idx="2">
                  <c:v>0.27714080722535628</c:v>
                </c:pt>
                <c:pt idx="3">
                  <c:v>0.18784252212475069</c:v>
                </c:pt>
                <c:pt idx="4">
                  <c:v>0.18782353749599157</c:v>
                </c:pt>
                <c:pt idx="5">
                  <c:v>0.28758532275388932</c:v>
                </c:pt>
                <c:pt idx="6">
                  <c:v>0.97657086563584183</c:v>
                </c:pt>
                <c:pt idx="7">
                  <c:v>0.65125859509890038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F4-4F89-B980-A68DAF146636}"/>
            </c:ext>
          </c:extLst>
        </c:ser>
        <c:ser>
          <c:idx val="6"/>
          <c:order val="6"/>
          <c:tx>
            <c:strRef>
              <c:f>kopi!$Q$12</c:f>
              <c:strCache>
                <c:ptCount val="1"/>
                <c:pt idx="0">
                  <c:v>El-kjeler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kopi!$R$12:$AC$12</c:f>
              <c:numCache>
                <c:formatCode>0.0</c:formatCode>
                <c:ptCount val="12"/>
                <c:pt idx="0">
                  <c:v>28.637895423415589</c:v>
                </c:pt>
                <c:pt idx="1">
                  <c:v>31.099072517745508</c:v>
                </c:pt>
                <c:pt idx="2">
                  <c:v>30.627576213721987</c:v>
                </c:pt>
                <c:pt idx="3">
                  <c:v>19.179302465191036</c:v>
                </c:pt>
                <c:pt idx="4">
                  <c:v>30.306014934261761</c:v>
                </c:pt>
                <c:pt idx="5">
                  <c:v>33.508887425938113</c:v>
                </c:pt>
                <c:pt idx="6">
                  <c:v>0.25699233306206365</c:v>
                </c:pt>
                <c:pt idx="7">
                  <c:v>19.356011268288249</c:v>
                </c:pt>
                <c:pt idx="8">
                  <c:v>17.870487701855282</c:v>
                </c:pt>
                <c:pt idx="9">
                  <c:v>23.576070524021752</c:v>
                </c:pt>
                <c:pt idx="10">
                  <c:v>31.522668348398852</c:v>
                </c:pt>
                <c:pt idx="11">
                  <c:v>30.304625219835941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F4-4F89-B980-A68DAF146636}"/>
            </c:ext>
          </c:extLst>
        </c:ser>
        <c:ser>
          <c:idx val="7"/>
          <c:order val="7"/>
          <c:tx>
            <c:strRef>
              <c:f>kopi!$Q$13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kopi!$R$13:$AC$13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F4-4F89-B980-A68DAF146636}"/>
            </c:ext>
          </c:extLst>
        </c:ser>
        <c:ser>
          <c:idx val="8"/>
          <c:order val="8"/>
          <c:tx>
            <c:strRef>
              <c:f>kopi!$Q$14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kopi!$R$14:$AC$14</c:f>
              <c:numCache>
                <c:formatCode>0.0</c:formatCode>
                <c:ptCount val="12"/>
                <c:pt idx="0">
                  <c:v>9.9739102076312651</c:v>
                </c:pt>
                <c:pt idx="1">
                  <c:v>5.0558061356518369</c:v>
                </c:pt>
                <c:pt idx="2">
                  <c:v>2.7868829396620853</c:v>
                </c:pt>
                <c:pt idx="3">
                  <c:v>3.4508801487248011</c:v>
                </c:pt>
                <c:pt idx="4">
                  <c:v>1.1177791011956573</c:v>
                </c:pt>
                <c:pt idx="5">
                  <c:v>1.1745954748622709</c:v>
                </c:pt>
                <c:pt idx="6">
                  <c:v>5.1398466612412728E-2</c:v>
                </c:pt>
                <c:pt idx="7">
                  <c:v>2.9654984400084814</c:v>
                </c:pt>
                <c:pt idx="8">
                  <c:v>0.52311791272703645</c:v>
                </c:pt>
                <c:pt idx="9">
                  <c:v>0.1590324544008796</c:v>
                </c:pt>
                <c:pt idx="10">
                  <c:v>7.4108331581528981</c:v>
                </c:pt>
                <c:pt idx="11">
                  <c:v>6.9487413188872775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F4-4F89-B980-A68DAF146636}"/>
            </c:ext>
          </c:extLst>
        </c:ser>
        <c:ser>
          <c:idx val="9"/>
          <c:order val="9"/>
          <c:tx>
            <c:strRef>
              <c:f>kopi!$Q$15</c:f>
              <c:strCache>
                <c:ptCount val="1"/>
                <c:pt idx="0">
                  <c:v>Oljekjeler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kopi!$R$5:$AC$5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kopi!$R$15:$AC$15</c:f>
              <c:numCache>
                <c:formatCode>0.0</c:formatCode>
                <c:ptCount val="12"/>
                <c:pt idx="0">
                  <c:v>3.7069246657245354</c:v>
                </c:pt>
                <c:pt idx="1">
                  <c:v>1.9130077270033981</c:v>
                </c:pt>
                <c:pt idx="2">
                  <c:v>0.33481985847530354</c:v>
                </c:pt>
                <c:pt idx="3">
                  <c:v>0</c:v>
                </c:pt>
                <c:pt idx="4">
                  <c:v>2.5195840395803748E-2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1.7670272711208843E-2</c:v>
                </c:pt>
                <c:pt idx="10">
                  <c:v>0.41202438511667011</c:v>
                </c:pt>
                <c:pt idx="11">
                  <c:v>0.70604243956918578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F4-4F89-B980-A68DAF146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41594432"/>
        <c:axId val="241578112"/>
      </c:barChart>
      <c:catAx>
        <c:axId val="2415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78112"/>
        <c:crosses val="autoZero"/>
        <c:auto val="1"/>
        <c:lblAlgn val="ctr"/>
        <c:lblOffset val="100"/>
        <c:noMultiLvlLbl val="0"/>
      </c:catAx>
      <c:valAx>
        <c:axId val="2415781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600">
                    <a:solidFill>
                      <a:sysClr val="windowText" lastClr="000000"/>
                    </a:solidFill>
                  </a:rPr>
                  <a:t>Produksjon andel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929559450186296E-2"/>
          <c:y val="0.81861524631768345"/>
          <c:w val="0.97949985381010984"/>
          <c:h val="0.18006041018559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19</xdr:row>
      <xdr:rowOff>7620</xdr:rowOff>
    </xdr:from>
    <xdr:to>
      <xdr:col>12</xdr:col>
      <xdr:colOff>259672</xdr:colOff>
      <xdr:row>49</xdr:row>
      <xdr:rowOff>6833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4E2EA-34DA-4594-8C45-201F027BA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169545</xdr:colOff>
      <xdr:row>19</xdr:row>
      <xdr:rowOff>45720</xdr:rowOff>
    </xdr:from>
    <xdr:to>
      <xdr:col>27</xdr:col>
      <xdr:colOff>12021</xdr:colOff>
      <xdr:row>49</xdr:row>
      <xdr:rowOff>41123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8103E-482C-4905-9910-F2054A5B0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0</xdr:colOff>
      <xdr:row>28</xdr:row>
      <xdr:rowOff>1</xdr:rowOff>
    </xdr:from>
    <xdr:to>
      <xdr:col>37</xdr:col>
      <xdr:colOff>554355</xdr:colOff>
      <xdr:row>45</xdr:row>
      <xdr:rowOff>41570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81187F-10EB-2D12-9716-C6125F2B5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74900" y="5095876"/>
          <a:ext cx="5514975" cy="3118144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41</xdr:col>
      <xdr:colOff>212618</xdr:colOff>
      <xdr:row>65</xdr:row>
      <xdr:rowOff>95691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3C5943-3797-DBB4-19FC-67BA9ED4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74900" y="8715375"/>
          <a:ext cx="8335538" cy="3162741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69</xdr:row>
      <xdr:rowOff>0</xdr:rowOff>
    </xdr:from>
    <xdr:to>
      <xdr:col>39</xdr:col>
      <xdr:colOff>134281</xdr:colOff>
      <xdr:row>118</xdr:row>
      <xdr:rowOff>168902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7E5CE9-ABB5-B125-5389-553BDD837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774900" y="12515850"/>
          <a:ext cx="6668431" cy="9040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fileservice.nve.no/API/PublishedFiles/Download/2c030cca-7906-48cd-87bd-20cc94098e63/201002582/3448098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FEF2-6F47-4FC8-9268-82F9DC8A7412}">
  <dimension ref="A1:N22"/>
  <sheetViews>
    <sheetView tabSelected="1" workbookViewId="0">
      <selection activeCell="B19" sqref="B19:M22"/>
    </sheetView>
  </sheetViews>
  <sheetFormatPr defaultColWidth="11.5546875" defaultRowHeight="14.4" x14ac:dyDescent="0.3"/>
  <cols>
    <col min="1" max="1" width="31.44140625" customWidth="1"/>
    <col min="2" max="2" width="11.44140625" customWidth="1"/>
  </cols>
  <sheetData>
    <row r="1" spans="1:14" x14ac:dyDescent="0.3">
      <c r="A1" s="22" t="s">
        <v>25</v>
      </c>
    </row>
    <row r="2" spans="1:14" x14ac:dyDescent="0.3">
      <c r="A2" s="23" t="s">
        <v>24</v>
      </c>
    </row>
    <row r="5" spans="1:14" x14ac:dyDescent="0.3">
      <c r="A5" s="4" t="s">
        <v>0</v>
      </c>
      <c r="B5" s="7" t="s">
        <v>1</v>
      </c>
      <c r="C5" s="5" t="s">
        <v>2</v>
      </c>
      <c r="D5" s="7" t="s">
        <v>3</v>
      </c>
      <c r="E5" s="5" t="s">
        <v>4</v>
      </c>
      <c r="F5" s="7" t="s">
        <v>5</v>
      </c>
      <c r="G5" s="5" t="s">
        <v>6</v>
      </c>
      <c r="H5" s="7" t="s">
        <v>7</v>
      </c>
      <c r="I5" s="5" t="s">
        <v>8</v>
      </c>
      <c r="J5" s="7" t="s">
        <v>9</v>
      </c>
      <c r="K5" s="5" t="s">
        <v>10</v>
      </c>
      <c r="L5" s="7" t="s">
        <v>11</v>
      </c>
      <c r="M5" s="7" t="s">
        <v>12</v>
      </c>
      <c r="N5" s="6" t="s">
        <v>13</v>
      </c>
    </row>
    <row r="6" spans="1:14" x14ac:dyDescent="0.3">
      <c r="A6" s="1" t="s">
        <v>14</v>
      </c>
      <c r="B6" s="8">
        <v>49338</v>
      </c>
      <c r="C6" s="9">
        <v>44771</v>
      </c>
      <c r="D6" s="8">
        <v>39622</v>
      </c>
      <c r="E6" s="9">
        <v>38512</v>
      </c>
      <c r="F6" s="8">
        <v>27194</v>
      </c>
      <c r="G6" s="9">
        <v>18405</v>
      </c>
      <c r="H6" s="8">
        <v>22921</v>
      </c>
      <c r="I6" s="9">
        <v>24918</v>
      </c>
      <c r="J6" s="8">
        <v>24518</v>
      </c>
      <c r="K6" s="9">
        <v>38246</v>
      </c>
      <c r="L6" s="8">
        <v>42247</v>
      </c>
      <c r="M6" s="8">
        <v>46744</v>
      </c>
      <c r="N6" s="10">
        <v>417436</v>
      </c>
    </row>
    <row r="7" spans="1:14" x14ac:dyDescent="0.3">
      <c r="A7" s="1" t="s">
        <v>15</v>
      </c>
      <c r="B7" s="11">
        <v>295</v>
      </c>
      <c r="C7" s="12">
        <v>303</v>
      </c>
      <c r="D7" s="11">
        <v>435</v>
      </c>
      <c r="E7" s="12">
        <v>468</v>
      </c>
      <c r="F7" s="11">
        <v>469</v>
      </c>
      <c r="G7" s="12">
        <v>156</v>
      </c>
      <c r="H7" s="11">
        <v>120</v>
      </c>
      <c r="I7" s="12">
        <v>500</v>
      </c>
      <c r="J7" s="11">
        <v>395</v>
      </c>
      <c r="K7" s="12">
        <v>458</v>
      </c>
      <c r="L7" s="11">
        <v>447</v>
      </c>
      <c r="M7" s="11">
        <v>586</v>
      </c>
      <c r="N7" s="13">
        <v>4632</v>
      </c>
    </row>
    <row r="8" spans="1:14" x14ac:dyDescent="0.3">
      <c r="A8" s="1" t="s">
        <v>16</v>
      </c>
      <c r="B8" s="11">
        <v>0</v>
      </c>
      <c r="C8" s="12">
        <v>0</v>
      </c>
      <c r="D8" s="11">
        <v>0</v>
      </c>
      <c r="E8" s="12">
        <v>0</v>
      </c>
      <c r="F8" s="8">
        <v>1696</v>
      </c>
      <c r="G8" s="12">
        <v>0</v>
      </c>
      <c r="H8" s="11">
        <v>0</v>
      </c>
      <c r="I8" s="12">
        <v>0</v>
      </c>
      <c r="J8" s="11">
        <v>0</v>
      </c>
      <c r="K8" s="12">
        <v>0</v>
      </c>
      <c r="L8" s="11">
        <v>0</v>
      </c>
      <c r="M8" s="11">
        <v>0</v>
      </c>
      <c r="N8" s="13">
        <v>1696</v>
      </c>
    </row>
    <row r="9" spans="1:14" x14ac:dyDescent="0.3">
      <c r="A9" s="1" t="s">
        <v>17</v>
      </c>
      <c r="B9" s="8">
        <v>2997</v>
      </c>
      <c r="C9" s="9">
        <v>5679</v>
      </c>
      <c r="D9" s="8">
        <v>6728</v>
      </c>
      <c r="E9" s="12">
        <v>67</v>
      </c>
      <c r="F9" s="11">
        <v>190</v>
      </c>
      <c r="G9" s="12">
        <v>0</v>
      </c>
      <c r="H9" s="11">
        <v>6</v>
      </c>
      <c r="I9" s="12">
        <v>11</v>
      </c>
      <c r="J9" s="11">
        <v>203</v>
      </c>
      <c r="K9" s="12">
        <v>132</v>
      </c>
      <c r="L9" s="11">
        <v>585</v>
      </c>
      <c r="M9" s="11">
        <v>999</v>
      </c>
      <c r="N9" s="13">
        <v>17597</v>
      </c>
    </row>
    <row r="10" spans="1:14" x14ac:dyDescent="0.3">
      <c r="A10" s="1" t="s">
        <v>18</v>
      </c>
      <c r="B10" s="11">
        <v>237</v>
      </c>
      <c r="C10" s="12">
        <v>299</v>
      </c>
      <c r="D10" s="11">
        <v>111</v>
      </c>
      <c r="E10" s="12">
        <v>809</v>
      </c>
      <c r="F10" s="11">
        <v>297</v>
      </c>
      <c r="G10" s="12">
        <v>207</v>
      </c>
      <c r="H10" s="11">
        <v>0</v>
      </c>
      <c r="I10" s="12">
        <v>0</v>
      </c>
      <c r="J10" s="11">
        <v>0</v>
      </c>
      <c r="K10" s="12">
        <v>0</v>
      </c>
      <c r="L10" s="11">
        <v>0</v>
      </c>
      <c r="M10" s="11">
        <v>0</v>
      </c>
      <c r="N10" s="13">
        <v>1960</v>
      </c>
    </row>
    <row r="11" spans="1:14" x14ac:dyDescent="0.3">
      <c r="A11" s="1" t="s">
        <v>19</v>
      </c>
      <c r="B11" s="11">
        <v>194</v>
      </c>
      <c r="C11" s="12">
        <v>164</v>
      </c>
      <c r="D11" s="11">
        <v>197</v>
      </c>
      <c r="E11" s="12">
        <v>97</v>
      </c>
      <c r="F11" s="11">
        <v>82</v>
      </c>
      <c r="G11" s="12">
        <v>83</v>
      </c>
      <c r="H11" s="11">
        <v>228</v>
      </c>
      <c r="I11" s="12">
        <v>215</v>
      </c>
      <c r="J11" s="11">
        <v>0</v>
      </c>
      <c r="K11" s="12">
        <v>0</v>
      </c>
      <c r="L11" s="11">
        <v>0</v>
      </c>
      <c r="M11" s="11">
        <v>0</v>
      </c>
      <c r="N11" s="13">
        <v>1260</v>
      </c>
    </row>
    <row r="12" spans="1:14" x14ac:dyDescent="0.3">
      <c r="A12" s="1" t="s">
        <v>23</v>
      </c>
      <c r="B12" s="8">
        <v>26344</v>
      </c>
      <c r="C12" s="9">
        <v>25718</v>
      </c>
      <c r="D12" s="8">
        <v>21771</v>
      </c>
      <c r="E12" s="9">
        <v>9904</v>
      </c>
      <c r="F12" s="8">
        <v>13231</v>
      </c>
      <c r="G12" s="9">
        <v>9671</v>
      </c>
      <c r="H12" s="11">
        <v>60</v>
      </c>
      <c r="I12" s="9">
        <v>6390</v>
      </c>
      <c r="J12" s="8">
        <v>5500</v>
      </c>
      <c r="K12" s="9">
        <v>12008</v>
      </c>
      <c r="L12" s="8">
        <v>22493</v>
      </c>
      <c r="M12" s="8">
        <v>23607</v>
      </c>
      <c r="N12" s="13">
        <v>176697</v>
      </c>
    </row>
    <row r="13" spans="1:14" x14ac:dyDescent="0.3">
      <c r="A13" s="1" t="s">
        <v>20</v>
      </c>
      <c r="B13" s="11">
        <v>0</v>
      </c>
      <c r="C13" s="12">
        <v>0</v>
      </c>
      <c r="D13" s="11">
        <v>0</v>
      </c>
      <c r="E13" s="12">
        <v>0</v>
      </c>
      <c r="F13" s="11">
        <v>0</v>
      </c>
      <c r="G13" s="12">
        <v>0</v>
      </c>
      <c r="H13" s="11">
        <v>0</v>
      </c>
      <c r="I13" s="12">
        <v>0</v>
      </c>
      <c r="J13" s="11">
        <v>0</v>
      </c>
      <c r="K13" s="12">
        <v>0</v>
      </c>
      <c r="L13" s="11">
        <v>0</v>
      </c>
      <c r="M13" s="11">
        <v>0</v>
      </c>
      <c r="N13" s="14">
        <v>0</v>
      </c>
    </row>
    <row r="14" spans="1:14" x14ac:dyDescent="0.3">
      <c r="A14" s="1" t="s">
        <v>21</v>
      </c>
      <c r="B14" s="8">
        <v>9175</v>
      </c>
      <c r="C14" s="9">
        <v>4181</v>
      </c>
      <c r="D14" s="8">
        <v>1981</v>
      </c>
      <c r="E14" s="9">
        <v>1782</v>
      </c>
      <c r="F14" s="11">
        <v>488</v>
      </c>
      <c r="G14" s="12">
        <v>339</v>
      </c>
      <c r="H14" s="11">
        <v>12</v>
      </c>
      <c r="I14" s="12">
        <v>979</v>
      </c>
      <c r="J14" s="11">
        <v>161</v>
      </c>
      <c r="K14" s="12">
        <v>81</v>
      </c>
      <c r="L14" s="8">
        <v>5288</v>
      </c>
      <c r="M14" s="8">
        <v>5413</v>
      </c>
      <c r="N14" s="13">
        <v>29880</v>
      </c>
    </row>
    <row r="15" spans="1:14" x14ac:dyDescent="0.3">
      <c r="A15" s="2" t="s">
        <v>22</v>
      </c>
      <c r="B15" s="15">
        <v>3410</v>
      </c>
      <c r="C15" s="16">
        <v>1582</v>
      </c>
      <c r="D15" s="17">
        <v>238</v>
      </c>
      <c r="E15" s="18">
        <v>0</v>
      </c>
      <c r="F15" s="17">
        <v>11</v>
      </c>
      <c r="G15" s="18">
        <v>0</v>
      </c>
      <c r="H15" s="17">
        <v>0</v>
      </c>
      <c r="I15" s="18">
        <v>0</v>
      </c>
      <c r="J15" s="17">
        <v>0</v>
      </c>
      <c r="K15" s="18">
        <v>9</v>
      </c>
      <c r="L15" s="17">
        <v>294</v>
      </c>
      <c r="M15" s="17">
        <v>550</v>
      </c>
      <c r="N15" s="19">
        <v>6093</v>
      </c>
    </row>
    <row r="16" spans="1:14" ht="15" thickBot="1" x14ac:dyDescent="0.35">
      <c r="A16" s="3" t="s">
        <v>13</v>
      </c>
      <c r="B16" s="20">
        <v>91990</v>
      </c>
      <c r="C16" s="20">
        <v>82697</v>
      </c>
      <c r="D16" s="20">
        <v>71083</v>
      </c>
      <c r="E16" s="20">
        <v>51639</v>
      </c>
      <c r="F16" s="20">
        <v>43658</v>
      </c>
      <c r="G16" s="20">
        <v>28861</v>
      </c>
      <c r="H16" s="20">
        <v>23347</v>
      </c>
      <c r="I16" s="20">
        <v>33013</v>
      </c>
      <c r="J16" s="20">
        <v>30777</v>
      </c>
      <c r="K16" s="20">
        <v>50933</v>
      </c>
      <c r="L16" s="20">
        <v>71355</v>
      </c>
      <c r="M16" s="20">
        <v>77899</v>
      </c>
      <c r="N16" s="21">
        <v>657252</v>
      </c>
    </row>
    <row r="19" spans="2:13" x14ac:dyDescent="0.3">
      <c r="B19" s="42">
        <f>B6+B10</f>
        <v>49575</v>
      </c>
      <c r="C19" s="42">
        <f t="shared" ref="C19:M19" si="0">C6+C10</f>
        <v>45070</v>
      </c>
      <c r="D19" s="42">
        <f t="shared" si="0"/>
        <v>39733</v>
      </c>
      <c r="E19" s="42">
        <f t="shared" si="0"/>
        <v>39321</v>
      </c>
      <c r="F19" s="42">
        <f t="shared" si="0"/>
        <v>27491</v>
      </c>
      <c r="G19" s="42">
        <f t="shared" si="0"/>
        <v>18612</v>
      </c>
      <c r="H19" s="42">
        <f t="shared" si="0"/>
        <v>22921</v>
      </c>
      <c r="I19" s="42">
        <f t="shared" si="0"/>
        <v>24918</v>
      </c>
      <c r="J19" s="42">
        <f t="shared" si="0"/>
        <v>24518</v>
      </c>
      <c r="K19" s="42">
        <f t="shared" si="0"/>
        <v>38246</v>
      </c>
      <c r="L19" s="42">
        <f t="shared" si="0"/>
        <v>42247</v>
      </c>
      <c r="M19" s="42">
        <f t="shared" si="0"/>
        <v>46744</v>
      </c>
    </row>
    <row r="20" spans="2:13" x14ac:dyDescent="0.3">
      <c r="B20" s="42">
        <f>B7+B8+B9</f>
        <v>3292</v>
      </c>
      <c r="C20" s="42">
        <f t="shared" ref="C20:M20" si="1">C7+C8+C9</f>
        <v>5982</v>
      </c>
      <c r="D20" s="42">
        <f t="shared" si="1"/>
        <v>7163</v>
      </c>
      <c r="E20" s="42">
        <f t="shared" si="1"/>
        <v>535</v>
      </c>
      <c r="F20" s="42">
        <f t="shared" si="1"/>
        <v>2355</v>
      </c>
      <c r="G20" s="42">
        <f t="shared" si="1"/>
        <v>156</v>
      </c>
      <c r="H20" s="42">
        <f t="shared" si="1"/>
        <v>126</v>
      </c>
      <c r="I20" s="42">
        <f t="shared" si="1"/>
        <v>511</v>
      </c>
      <c r="J20" s="42">
        <f t="shared" si="1"/>
        <v>598</v>
      </c>
      <c r="K20" s="42">
        <f t="shared" si="1"/>
        <v>590</v>
      </c>
      <c r="L20" s="42">
        <f t="shared" si="1"/>
        <v>1032</v>
      </c>
      <c r="M20" s="42">
        <f t="shared" si="1"/>
        <v>1585</v>
      </c>
    </row>
    <row r="21" spans="2:13" x14ac:dyDescent="0.3">
      <c r="B21" s="42">
        <f>B11+B12</f>
        <v>26538</v>
      </c>
      <c r="C21" s="42">
        <f t="shared" ref="C21:M21" si="2">C11+C12</f>
        <v>25882</v>
      </c>
      <c r="D21" s="42">
        <f t="shared" si="2"/>
        <v>21968</v>
      </c>
      <c r="E21" s="42">
        <f t="shared" si="2"/>
        <v>10001</v>
      </c>
      <c r="F21" s="42">
        <f t="shared" si="2"/>
        <v>13313</v>
      </c>
      <c r="G21" s="42">
        <f t="shared" si="2"/>
        <v>9754</v>
      </c>
      <c r="H21" s="42">
        <f t="shared" si="2"/>
        <v>288</v>
      </c>
      <c r="I21" s="42">
        <f t="shared" si="2"/>
        <v>6605</v>
      </c>
      <c r="J21" s="42">
        <f t="shared" si="2"/>
        <v>5500</v>
      </c>
      <c r="K21" s="42">
        <f t="shared" si="2"/>
        <v>12008</v>
      </c>
      <c r="L21" s="42">
        <f t="shared" si="2"/>
        <v>22493</v>
      </c>
      <c r="M21" s="42">
        <f t="shared" si="2"/>
        <v>23607</v>
      </c>
    </row>
    <row r="22" spans="2:13" x14ac:dyDescent="0.3">
      <c r="B22" s="42">
        <f>B13+B14+B15</f>
        <v>12585</v>
      </c>
      <c r="C22" s="42">
        <f t="shared" ref="C22:M22" si="3">C13+C14+C15</f>
        <v>5763</v>
      </c>
      <c r="D22" s="42">
        <f t="shared" si="3"/>
        <v>2219</v>
      </c>
      <c r="E22" s="42">
        <f t="shared" si="3"/>
        <v>1782</v>
      </c>
      <c r="F22" s="42">
        <f t="shared" si="3"/>
        <v>499</v>
      </c>
      <c r="G22" s="42">
        <f t="shared" si="3"/>
        <v>339</v>
      </c>
      <c r="H22" s="42">
        <f t="shared" si="3"/>
        <v>12</v>
      </c>
      <c r="I22" s="42">
        <f t="shared" si="3"/>
        <v>979</v>
      </c>
      <c r="J22" s="42">
        <f t="shared" si="3"/>
        <v>161</v>
      </c>
      <c r="K22" s="42">
        <f t="shared" si="3"/>
        <v>90</v>
      </c>
      <c r="L22" s="42">
        <f t="shared" si="3"/>
        <v>5582</v>
      </c>
      <c r="M22" s="42">
        <f t="shared" si="3"/>
        <v>5963</v>
      </c>
    </row>
  </sheetData>
  <pageMargins left="0.7" right="0.7" top="0.75" bottom="0.75" header="0.3" footer="0.3"/>
  <headerFooter>
    <oddFooter>&amp;L_x000D_&amp;1#&amp;"Aptos"&amp;8&amp;K000000 Statkraft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C546-A4D9-481A-920A-62BD89A94F0A}">
  <dimension ref="A1:AN26"/>
  <sheetViews>
    <sheetView zoomScale="130" zoomScaleNormal="130" workbookViewId="0">
      <selection activeCell="D17" sqref="D17:M17"/>
    </sheetView>
  </sheetViews>
  <sheetFormatPr defaultColWidth="11.5546875" defaultRowHeight="14.4" x14ac:dyDescent="0.3"/>
  <cols>
    <col min="1" max="1" width="31.44140625" customWidth="1"/>
    <col min="2" max="2" width="11.44140625" customWidth="1"/>
    <col min="17" max="17" width="19.109375" customWidth="1"/>
    <col min="18" max="18" width="8.77734375" customWidth="1"/>
    <col min="34" max="34" width="22.88671875" bestFit="1" customWidth="1"/>
    <col min="36" max="36" width="17.33203125" customWidth="1"/>
    <col min="37" max="37" width="20.44140625" bestFit="1" customWidth="1"/>
  </cols>
  <sheetData>
    <row r="1" spans="1:40" x14ac:dyDescent="0.3">
      <c r="A1" s="22" t="s">
        <v>25</v>
      </c>
    </row>
    <row r="2" spans="1:40" ht="15" thickBot="1" x14ac:dyDescent="0.35">
      <c r="A2" s="23" t="s">
        <v>24</v>
      </c>
      <c r="AH2" s="26" t="s">
        <v>26</v>
      </c>
      <c r="AI2" s="26" t="s">
        <v>27</v>
      </c>
      <c r="AJ2" s="26" t="s">
        <v>60</v>
      </c>
      <c r="AK2" s="26" t="s">
        <v>61</v>
      </c>
      <c r="AL2" s="26" t="s">
        <v>28</v>
      </c>
      <c r="AM2" s="26" t="s">
        <v>29</v>
      </c>
      <c r="AN2" s="26" t="s">
        <v>30</v>
      </c>
    </row>
    <row r="3" spans="1:40" ht="15" thickTop="1" x14ac:dyDescent="0.3">
      <c r="AH3" s="27" t="s">
        <v>31</v>
      </c>
      <c r="AI3" s="28">
        <v>1</v>
      </c>
      <c r="AJ3" s="28">
        <v>1</v>
      </c>
      <c r="AK3" s="28">
        <f>AI3*AJ3</f>
        <v>1</v>
      </c>
      <c r="AL3" s="28" t="s">
        <v>32</v>
      </c>
      <c r="AM3" s="28" t="s">
        <v>33</v>
      </c>
      <c r="AN3" s="27"/>
    </row>
    <row r="4" spans="1:40" x14ac:dyDescent="0.3">
      <c r="AH4" t="s">
        <v>34</v>
      </c>
      <c r="AI4" s="29">
        <v>1</v>
      </c>
      <c r="AJ4" s="29">
        <v>33</v>
      </c>
      <c r="AK4" s="29">
        <f>AI4*AJ4</f>
        <v>33</v>
      </c>
      <c r="AL4" s="29" t="s">
        <v>35</v>
      </c>
      <c r="AM4" s="29" t="s">
        <v>33</v>
      </c>
      <c r="AN4" t="s">
        <v>36</v>
      </c>
    </row>
    <row r="5" spans="1:40" x14ac:dyDescent="0.3">
      <c r="A5" s="4" t="s">
        <v>0</v>
      </c>
      <c r="B5" s="7" t="s">
        <v>1</v>
      </c>
      <c r="C5" s="5" t="s">
        <v>2</v>
      </c>
      <c r="D5" s="7" t="s">
        <v>3</v>
      </c>
      <c r="E5" s="5" t="s">
        <v>4</v>
      </c>
      <c r="F5" s="7" t="s">
        <v>5</v>
      </c>
      <c r="G5" s="5" t="s">
        <v>6</v>
      </c>
      <c r="H5" s="7" t="s">
        <v>7</v>
      </c>
      <c r="I5" s="5" t="s">
        <v>8</v>
      </c>
      <c r="J5" s="7" t="s">
        <v>9</v>
      </c>
      <c r="K5" s="5" t="s">
        <v>10</v>
      </c>
      <c r="L5" s="7" t="s">
        <v>11</v>
      </c>
      <c r="M5" s="7" t="s">
        <v>12</v>
      </c>
      <c r="N5" s="6" t="s">
        <v>13</v>
      </c>
      <c r="R5" s="25" t="str">
        <f>B5</f>
        <v>Jan</v>
      </c>
      <c r="S5" s="25" t="str">
        <f t="shared" ref="S5:W5" si="0">C5</f>
        <v>Feb</v>
      </c>
      <c r="T5" s="25" t="str">
        <f t="shared" si="0"/>
        <v>Mar</v>
      </c>
      <c r="U5" s="25" t="str">
        <f t="shared" si="0"/>
        <v>Apr</v>
      </c>
      <c r="V5" s="25" t="str">
        <f t="shared" si="0"/>
        <v>Mai</v>
      </c>
      <c r="W5" s="25" t="str">
        <f t="shared" si="0"/>
        <v>Juni</v>
      </c>
      <c r="X5" s="25" t="str">
        <f t="shared" ref="X5" si="1">H5</f>
        <v>Jul</v>
      </c>
      <c r="Y5" s="25" t="str">
        <f t="shared" ref="Y5" si="2">I5</f>
        <v>Aug</v>
      </c>
      <c r="Z5" s="25" t="str">
        <f t="shared" ref="Z5" si="3">J5</f>
        <v>Sep</v>
      </c>
      <c r="AA5" s="25" t="str">
        <f t="shared" ref="AA5:AB5" si="4">K5</f>
        <v>Okt</v>
      </c>
      <c r="AB5" s="25" t="str">
        <f t="shared" si="4"/>
        <v>Nov</v>
      </c>
      <c r="AC5" s="25" t="str">
        <f>M5</f>
        <v>Des</v>
      </c>
      <c r="AD5" s="25" t="str">
        <f>N5</f>
        <v>Sum</v>
      </c>
      <c r="AI5" s="29">
        <v>1</v>
      </c>
      <c r="AJ5" s="29">
        <v>47</v>
      </c>
      <c r="AK5" s="29">
        <f>AI5*AJ5</f>
        <v>47</v>
      </c>
      <c r="AL5" s="29" t="s">
        <v>35</v>
      </c>
      <c r="AM5" s="29" t="s">
        <v>37</v>
      </c>
      <c r="AN5">
        <v>2007</v>
      </c>
    </row>
    <row r="6" spans="1:40" x14ac:dyDescent="0.3">
      <c r="A6" s="1" t="s">
        <v>14</v>
      </c>
      <c r="B6" s="8">
        <v>49338</v>
      </c>
      <c r="C6" s="9">
        <v>44771</v>
      </c>
      <c r="D6" s="8">
        <v>39622</v>
      </c>
      <c r="E6" s="9">
        <v>38512</v>
      </c>
      <c r="F6" s="8">
        <v>27194</v>
      </c>
      <c r="G6" s="9">
        <v>18405</v>
      </c>
      <c r="H6" s="8">
        <v>22921</v>
      </c>
      <c r="I6" s="9">
        <v>24918</v>
      </c>
      <c r="J6" s="8">
        <v>24518</v>
      </c>
      <c r="K6" s="9">
        <v>38246</v>
      </c>
      <c r="L6" s="8">
        <v>42247</v>
      </c>
      <c r="M6" s="8">
        <v>46744</v>
      </c>
      <c r="N6" s="10">
        <v>417436</v>
      </c>
      <c r="Q6" t="str">
        <f>A6</f>
        <v>Avfall</v>
      </c>
      <c r="R6" s="24" cm="1">
        <f t="array" ref="R6">SUMPRODUCT(($A$6:$A$16=$Q6)*($B$5:$M$5=R$5)*($B$6:$M$16))/ SUMPRODUCT(($A$6:$A$16=$Q$16)*($B$5:$M$5=R$5)*($B$6:$M$16))*100</f>
        <v>53.634090662028477</v>
      </c>
      <c r="S6" s="24" cm="1">
        <f t="array" ref="S6">SUMPRODUCT(($A$6:$A$16=$Q6)*($B$5:$M$5=S$5)*($B$6:$M$16))/ SUMPRODUCT(($A$6:$A$16=$Q$16)*($B$5:$M$5=S$5)*($B$6:$M$16))*100</f>
        <v>54.138602367679603</v>
      </c>
      <c r="T6" s="24" cm="1">
        <f t="array" ref="T6">SUMPRODUCT(($A$6:$A$16=$Q6)*($B$5:$M$5=T$5)*($B$6:$M$16))/ SUMPRODUCT(($A$6:$A$16=$Q$16)*($B$5:$M$5=T$5)*($B$6:$M$16))*100</f>
        <v>55.740472405497798</v>
      </c>
      <c r="U6" s="24" cm="1">
        <f t="array" ref="U6">SUMPRODUCT(($A$6:$A$16=$Q6)*($B$5:$M$5=U$5)*($B$6:$M$16))/ SUMPRODUCT(($A$6:$A$16=$Q$16)*($B$5:$M$5=U$5)*($B$6:$M$16))*100</f>
        <v>74.579290846065959</v>
      </c>
      <c r="V6" s="24" cm="1">
        <f t="array" ref="V6">SUMPRODUCT(($A$6:$A$16=$Q6)*($B$5:$M$5=V$5)*($B$6:$M$16))/ SUMPRODUCT(($A$6:$A$16=$Q$16)*($B$5:$M$5=V$5)*($B$6:$M$16))*100</f>
        <v>62.288698520317013</v>
      </c>
      <c r="W6" s="24" cm="1">
        <f t="array" ref="W6">SUMPRODUCT(($A$6:$A$16=$Q6)*($B$5:$M$5=W$5)*($B$6:$M$16))/ SUMPRODUCT(($A$6:$A$16=$Q$16)*($B$5:$M$5=W$5)*($B$6:$M$16))*100</f>
        <v>63.771179099823293</v>
      </c>
      <c r="X6" s="24" cm="1">
        <f t="array" ref="X6">SUMPRODUCT(($A$6:$A$16=$Q6)*($B$5:$M$5=X$5)*($B$6:$M$16))/ SUMPRODUCT(($A$6:$A$16=$Q$16)*($B$5:$M$5=X$5)*($B$6:$M$16))*100</f>
        <v>98.175354435259337</v>
      </c>
      <c r="Y6" s="24" cm="1">
        <f t="array" ref="Y6">SUMPRODUCT(($A$6:$A$16=$Q6)*($B$5:$M$5=Y$5)*($B$6:$M$16))/ SUMPRODUCT(($A$6:$A$16=$Q$16)*($B$5:$M$5=Y$5)*($B$6:$M$16))*100</f>
        <v>75.479356617090232</v>
      </c>
      <c r="Z6" s="24" cm="1">
        <f t="array" ref="Z6">SUMPRODUCT(($A$6:$A$16=$Q6)*($B$5:$M$5=Z$5)*($B$6:$M$16))/ SUMPRODUCT(($A$6:$A$16=$Q$16)*($B$5:$M$5=Z$5)*($B$6:$M$16))*100</f>
        <v>79.663384995288695</v>
      </c>
      <c r="AA6" s="24" cm="1">
        <f t="array" ref="AA6">SUMPRODUCT(($A$6:$A$16=$Q6)*($B$5:$M$5=AA$5)*($B$6:$M$16))/ SUMPRODUCT(($A$6:$A$16=$Q$16)*($B$5:$M$5=AA$5)*($B$6:$M$16))*100</f>
        <v>75.09080556809927</v>
      </c>
      <c r="AB6" s="24" cm="1">
        <f t="array" ref="AB6">SUMPRODUCT(($A$6:$A$16=$Q6)*($B$5:$M$5=AB$5)*($B$6:$M$16))/ SUMPRODUCT(($A$6:$A$16=$Q$16)*($B$5:$M$5=AB$5)*($B$6:$M$16))*100</f>
        <v>59.206782986476071</v>
      </c>
      <c r="AC6" s="24" cm="1">
        <f t="array" ref="AC6">SUMPRODUCT(($A$6:$A$16=$Q6)*($B$5:$M$5=AC$5)*($B$6:$M$16))/ SUMPRODUCT(($A$6:$A$16=$Q$16)*($B$5:$M$5=AC$5)*($B$6:$M$16))*100</f>
        <v>60.005905082221858</v>
      </c>
      <c r="AD6" s="24" cm="1">
        <f t="array" ref="AD6">SUMPRODUCT(($A$6:$A$16=$Q6)*($B$5:$N$5=AD$5)*($B$6:$N$16))/ SUMPRODUCT(($A$6:$A$16=$Q$16)*($B$5:$N$5=AD$5)*($B$6:$N$16))*100</f>
        <v>63.51232099712135</v>
      </c>
      <c r="AI6">
        <v>2</v>
      </c>
      <c r="AJ6">
        <v>10</v>
      </c>
      <c r="AL6" t="s">
        <v>38</v>
      </c>
      <c r="AM6" t="s">
        <v>33</v>
      </c>
    </row>
    <row r="7" spans="1:40" x14ac:dyDescent="0.3">
      <c r="A7" s="1" t="s">
        <v>15</v>
      </c>
      <c r="B7" s="11">
        <v>295</v>
      </c>
      <c r="C7" s="12">
        <v>303</v>
      </c>
      <c r="D7" s="11">
        <v>435</v>
      </c>
      <c r="E7" s="12">
        <v>468</v>
      </c>
      <c r="F7" s="11">
        <v>469</v>
      </c>
      <c r="G7" s="12">
        <v>156</v>
      </c>
      <c r="H7" s="11">
        <v>120</v>
      </c>
      <c r="I7" s="12">
        <v>500</v>
      </c>
      <c r="J7" s="11">
        <v>395</v>
      </c>
      <c r="K7" s="12">
        <v>458</v>
      </c>
      <c r="L7" s="11">
        <v>447</v>
      </c>
      <c r="M7" s="11">
        <v>586</v>
      </c>
      <c r="N7" s="13">
        <v>4632</v>
      </c>
      <c r="Q7" t="str">
        <f t="shared" ref="Q7:Q16" si="5">A7</f>
        <v>Biogass</v>
      </c>
      <c r="R7" s="24" cm="1">
        <f t="array" ref="R7">SUMPRODUCT(($A$6:$A$16=$Q7)*($B$5:$M$5=R$5)*($B$6:$M$16))/ SUMPRODUCT(($A$6:$A$16=$Q$16)*($B$5:$M$5=R$5)*($B$6:$M$16))*100</f>
        <v>0.32068703119904335</v>
      </c>
      <c r="S7" s="24" cm="1">
        <f t="array" ref="S7">SUMPRODUCT(($A$6:$A$16=$Q7)*($B$5:$M$5=S$5)*($B$6:$M$16))/ SUMPRODUCT(($A$6:$A$16=$Q$16)*($B$5:$M$5=S$5)*($B$6:$M$16))*100</f>
        <v>0.36639781370545488</v>
      </c>
      <c r="T7" s="24" cm="1">
        <f t="array" ref="T7">SUMPRODUCT(($A$6:$A$16=$Q7)*($B$5:$M$5=T$5)*($B$6:$M$16))/ SUMPRODUCT(($A$6:$A$16=$Q$16)*($B$5:$M$5=T$5)*($B$6:$M$16))*100</f>
        <v>0.61196066570065977</v>
      </c>
      <c r="U7" s="24" cm="1">
        <f t="array" ref="U7">SUMPRODUCT(($A$6:$A$16=$Q7)*($B$5:$M$5=U$5)*($B$6:$M$16))/ SUMPRODUCT(($A$6:$A$16=$Q$16)*($B$5:$M$5=U$5)*($B$6:$M$16))*100</f>
        <v>0.90629175623075586</v>
      </c>
      <c r="V7" s="24" cm="1">
        <f t="array" ref="V7">SUMPRODUCT(($A$6:$A$16=$Q7)*($B$5:$M$5=V$5)*($B$6:$M$16))/ SUMPRODUCT(($A$6:$A$16=$Q$16)*($B$5:$M$5=V$5)*($B$6:$M$16))*100</f>
        <v>1.0742590132392689</v>
      </c>
      <c r="W7" s="24" cm="1">
        <f t="array" ref="W7">SUMPRODUCT(($A$6:$A$16=$Q7)*($B$5:$M$5=W$5)*($B$6:$M$16))/ SUMPRODUCT(($A$6:$A$16=$Q$16)*($B$5:$M$5=W$5)*($B$6:$M$16))*100</f>
        <v>0.54052181144104494</v>
      </c>
      <c r="X7" s="24" cm="1">
        <f t="array" ref="X7">SUMPRODUCT(($A$6:$A$16=$Q7)*($B$5:$M$5=X$5)*($B$6:$M$16))/ SUMPRODUCT(($A$6:$A$16=$Q$16)*($B$5:$M$5=X$5)*($B$6:$M$16))*100</f>
        <v>0.5139846661241273</v>
      </c>
      <c r="Y7" s="24" cm="1">
        <f t="array" ref="Y7">SUMPRODUCT(($A$6:$A$16=$Q7)*($B$5:$M$5=Y$5)*($B$6:$M$16))/ SUMPRODUCT(($A$6:$A$16=$Q$16)*($B$5:$M$5=Y$5)*($B$6:$M$16))*100</f>
        <v>1.5145548723230242</v>
      </c>
      <c r="Z7" s="24" cm="1">
        <f t="array" ref="Z7">SUMPRODUCT(($A$6:$A$16=$Q7)*($B$5:$M$5=Z$5)*($B$6:$M$16))/ SUMPRODUCT(($A$6:$A$16=$Q$16)*($B$5:$M$5=Z$5)*($B$6:$M$16))*100</f>
        <v>1.2834259349514248</v>
      </c>
      <c r="AA7" s="24" cm="1">
        <f t="array" ref="AA7">SUMPRODUCT(($A$6:$A$16=$Q7)*($B$5:$M$5=AA$5)*($B$6:$M$16))/ SUMPRODUCT(($A$6:$A$16=$Q$16)*($B$5:$M$5=AA$5)*($B$6:$M$16))*100</f>
        <v>0.89922054463707235</v>
      </c>
      <c r="AB7" s="24" cm="1">
        <f t="array" ref="AB7">SUMPRODUCT(($A$6:$A$16=$Q7)*($B$5:$M$5=AB$5)*($B$6:$M$16))/ SUMPRODUCT(($A$6:$A$16=$Q$16)*($B$5:$M$5=AB$5)*($B$6:$M$16))*100</f>
        <v>0.62644523859575363</v>
      </c>
      <c r="AC7" s="24" cm="1">
        <f t="array" ref="AC7">SUMPRODUCT(($A$6:$A$16=$Q7)*($B$5:$M$5=AC$5)*($B$6:$M$16))/ SUMPRODUCT(($A$6:$A$16=$Q$16)*($B$5:$M$5=AC$5)*($B$6:$M$16))*100</f>
        <v>0.75225612652280516</v>
      </c>
      <c r="AD7" s="24" cm="1">
        <f t="array" ref="AD7">SUMPRODUCT(($A$6:$A$16=$Q7)*($B$5:$N$5=AD$5)*($B$6:$N$16))/ SUMPRODUCT(($A$6:$A$16=$Q$16)*($B$5:$N$5=AD$5)*($B$6:$N$16))*100</f>
        <v>0.70475251501707104</v>
      </c>
      <c r="AI7" s="30">
        <v>1</v>
      </c>
      <c r="AJ7" s="30">
        <v>20</v>
      </c>
      <c r="AK7" s="30"/>
      <c r="AL7" s="30" t="s">
        <v>39</v>
      </c>
      <c r="AM7" s="30" t="s">
        <v>33</v>
      </c>
    </row>
    <row r="8" spans="1:40" x14ac:dyDescent="0.3">
      <c r="A8" s="1" t="s">
        <v>16</v>
      </c>
      <c r="B8" s="11">
        <v>0</v>
      </c>
      <c r="C8" s="12">
        <v>0</v>
      </c>
      <c r="D8" s="11">
        <v>0</v>
      </c>
      <c r="E8" s="12">
        <v>0</v>
      </c>
      <c r="F8" s="8">
        <v>1696</v>
      </c>
      <c r="G8" s="12">
        <v>0</v>
      </c>
      <c r="H8" s="11">
        <v>0</v>
      </c>
      <c r="I8" s="12">
        <v>0</v>
      </c>
      <c r="J8" s="11">
        <v>0</v>
      </c>
      <c r="K8" s="12">
        <v>0</v>
      </c>
      <c r="L8" s="11">
        <v>0</v>
      </c>
      <c r="M8" s="11">
        <v>0</v>
      </c>
      <c r="N8" s="13">
        <v>1696</v>
      </c>
      <c r="Q8" t="str">
        <f t="shared" si="5"/>
        <v>Biokjel</v>
      </c>
      <c r="R8" s="24" cm="1">
        <f t="array" ref="R8">SUMPRODUCT(($A$6:$A$16=$Q8)*($B$5:$M$5=R$5)*($B$6:$M$16))/ SUMPRODUCT(($A$6:$A$16=$Q$16)*($B$5:$M$5=R$5)*($B$6:$M$16))*100</f>
        <v>0</v>
      </c>
      <c r="S8" s="24" cm="1">
        <f t="array" ref="S8">SUMPRODUCT(($A$6:$A$16=$Q8)*($B$5:$M$5=S$5)*($B$6:$M$16))/ SUMPRODUCT(($A$6:$A$16=$Q$16)*($B$5:$M$5=S$5)*($B$6:$M$16))*100</f>
        <v>0</v>
      </c>
      <c r="T8" s="24" cm="1">
        <f t="array" ref="T8">SUMPRODUCT(($A$6:$A$16=$Q8)*($B$5:$M$5=T$5)*($B$6:$M$16))/ SUMPRODUCT(($A$6:$A$16=$Q$16)*($B$5:$M$5=T$5)*($B$6:$M$16))*100</f>
        <v>0</v>
      </c>
      <c r="U8" s="24" cm="1">
        <f t="array" ref="U8">SUMPRODUCT(($A$6:$A$16=$Q8)*($B$5:$M$5=U$5)*($B$6:$M$16))/ SUMPRODUCT(($A$6:$A$16=$Q$16)*($B$5:$M$5=U$5)*($B$6:$M$16))*100</f>
        <v>0</v>
      </c>
      <c r="V8" s="24" cm="1">
        <f t="array" ref="V8">SUMPRODUCT(($A$6:$A$16=$Q8)*($B$5:$M$5=V$5)*($B$6:$M$16))/ SUMPRODUCT(($A$6:$A$16=$Q$16)*($B$5:$M$5=V$5)*($B$6:$M$16))*100</f>
        <v>3.8847404828439229</v>
      </c>
      <c r="W8" s="24" cm="1">
        <f t="array" ref="W8">SUMPRODUCT(($A$6:$A$16=$Q8)*($B$5:$M$5=W$5)*($B$6:$M$16))/ SUMPRODUCT(($A$6:$A$16=$Q$16)*($B$5:$M$5=W$5)*($B$6:$M$16))*100</f>
        <v>0</v>
      </c>
      <c r="X8" s="24" cm="1">
        <f t="array" ref="X8">SUMPRODUCT(($A$6:$A$16=$Q8)*($B$5:$M$5=X$5)*($B$6:$M$16))/ SUMPRODUCT(($A$6:$A$16=$Q$16)*($B$5:$M$5=X$5)*($B$6:$M$16))*100</f>
        <v>0</v>
      </c>
      <c r="Y8" s="24" cm="1">
        <f t="array" ref="Y8">SUMPRODUCT(($A$6:$A$16=$Q8)*($B$5:$M$5=Y$5)*($B$6:$M$16))/ SUMPRODUCT(($A$6:$A$16=$Q$16)*($B$5:$M$5=Y$5)*($B$6:$M$16))*100</f>
        <v>0</v>
      </c>
      <c r="Z8" s="24" cm="1">
        <f t="array" ref="Z8">SUMPRODUCT(($A$6:$A$16=$Q8)*($B$5:$M$5=Z$5)*($B$6:$M$16))/ SUMPRODUCT(($A$6:$A$16=$Q$16)*($B$5:$M$5=Z$5)*($B$6:$M$16))*100</f>
        <v>0</v>
      </c>
      <c r="AA8" s="24" cm="1">
        <f t="array" ref="AA8">SUMPRODUCT(($A$6:$A$16=$Q8)*($B$5:$M$5=AA$5)*($B$6:$M$16))/ SUMPRODUCT(($A$6:$A$16=$Q$16)*($B$5:$M$5=AA$5)*($B$6:$M$16))*100</f>
        <v>0</v>
      </c>
      <c r="AB8" s="24" cm="1">
        <f t="array" ref="AB8">SUMPRODUCT(($A$6:$A$16=$Q8)*($B$5:$M$5=AB$5)*($B$6:$M$16))/ SUMPRODUCT(($A$6:$A$16=$Q$16)*($B$5:$M$5=AB$5)*($B$6:$M$16))*100</f>
        <v>0</v>
      </c>
      <c r="AC8" s="24" cm="1">
        <f t="array" ref="AC8">SUMPRODUCT(($A$6:$A$16=$Q8)*($B$5:$M$5=AC$5)*($B$6:$M$16))/ SUMPRODUCT(($A$6:$A$16=$Q$16)*($B$5:$M$5=AC$5)*($B$6:$M$16))*100</f>
        <v>0</v>
      </c>
      <c r="AD8" s="24" cm="1">
        <f t="array" ref="AD8">SUMPRODUCT(($A$6:$A$16=$Q8)*($B$5:$N$5=AD$5)*($B$6:$N$16))/ SUMPRODUCT(($A$6:$A$16=$Q$16)*($B$5:$N$5=AD$5)*($B$6:$N$16))*100</f>
        <v>0.25804409876272721</v>
      </c>
      <c r="AH8" s="31"/>
      <c r="AI8" s="31">
        <v>1</v>
      </c>
      <c r="AJ8" s="31" t="s">
        <v>40</v>
      </c>
      <c r="AK8" s="31"/>
      <c r="AL8" s="31"/>
      <c r="AM8" s="31" t="s">
        <v>41</v>
      </c>
      <c r="AN8" s="31"/>
    </row>
    <row r="9" spans="1:40" x14ac:dyDescent="0.3">
      <c r="A9" s="1" t="s">
        <v>17</v>
      </c>
      <c r="B9" s="8">
        <v>2997</v>
      </c>
      <c r="C9" s="9">
        <v>5679</v>
      </c>
      <c r="D9" s="8">
        <v>6728</v>
      </c>
      <c r="E9" s="12">
        <v>67</v>
      </c>
      <c r="F9" s="11">
        <v>190</v>
      </c>
      <c r="G9" s="12">
        <v>0</v>
      </c>
      <c r="H9" s="11">
        <v>6</v>
      </c>
      <c r="I9" s="12">
        <v>11</v>
      </c>
      <c r="J9" s="11">
        <v>203</v>
      </c>
      <c r="K9" s="12">
        <v>132</v>
      </c>
      <c r="L9" s="11">
        <v>585</v>
      </c>
      <c r="M9" s="11">
        <v>999</v>
      </c>
      <c r="N9" s="13">
        <v>17597</v>
      </c>
      <c r="Q9" t="str">
        <f t="shared" si="5"/>
        <v>Bioolje</v>
      </c>
      <c r="R9" s="24" cm="1">
        <f t="array" ref="R9">SUMPRODUCT(($A$6:$A$16=$Q9)*($B$5:$M$5=R$5)*($B$6:$M$16))/ SUMPRODUCT(($A$6:$A$16=$Q$16)*($B$5:$M$5=R$5)*($B$6:$M$16))*100</f>
        <v>3.257962822045875</v>
      </c>
      <c r="S9" s="24" cm="1">
        <f t="array" ref="S9">SUMPRODUCT(($A$6:$A$16=$Q9)*($B$5:$M$5=S$5)*($B$6:$M$16))/ SUMPRODUCT(($A$6:$A$16=$Q$16)*($B$5:$M$5=S$5)*($B$6:$M$16))*100</f>
        <v>6.867238231132931</v>
      </c>
      <c r="T9" s="24" cm="1">
        <f t="array" ref="T9">SUMPRODUCT(($A$6:$A$16=$Q9)*($B$5:$M$5=T$5)*($B$6:$M$16))/ SUMPRODUCT(($A$6:$A$16=$Q$16)*($B$5:$M$5=T$5)*($B$6:$M$16))*100</f>
        <v>9.4649916295035386</v>
      </c>
      <c r="U9" s="24" cm="1">
        <f t="array" ref="U9">SUMPRODUCT(($A$6:$A$16=$Q9)*($B$5:$M$5=U$5)*($B$6:$M$16))/ SUMPRODUCT(($A$6:$A$16=$Q$16)*($B$5:$M$5=U$5)*($B$6:$M$16))*100</f>
        <v>0.12974689672534326</v>
      </c>
      <c r="V9" s="24" cm="1">
        <f t="array" ref="V9">SUMPRODUCT(($A$6:$A$16=$Q9)*($B$5:$M$5=V$5)*($B$6:$M$16))/ SUMPRODUCT(($A$6:$A$16=$Q$16)*($B$5:$M$5=V$5)*($B$6:$M$16))*100</f>
        <v>0.43520087956388293</v>
      </c>
      <c r="W9" s="24" cm="1">
        <f t="array" ref="W9">SUMPRODUCT(($A$6:$A$16=$Q9)*($B$5:$M$5=W$5)*($B$6:$M$16))/ SUMPRODUCT(($A$6:$A$16=$Q$16)*($B$5:$M$5=W$5)*($B$6:$M$16))*100</f>
        <v>0</v>
      </c>
      <c r="X9" s="24" cm="1">
        <f t="array" ref="X9">SUMPRODUCT(($A$6:$A$16=$Q9)*($B$5:$M$5=X$5)*($B$6:$M$16))/ SUMPRODUCT(($A$6:$A$16=$Q$16)*($B$5:$M$5=X$5)*($B$6:$M$16))*100</f>
        <v>2.5699233306206364E-2</v>
      </c>
      <c r="Y9" s="24" cm="1">
        <f t="array" ref="Y9">SUMPRODUCT(($A$6:$A$16=$Q9)*($B$5:$M$5=Y$5)*($B$6:$M$16))/ SUMPRODUCT(($A$6:$A$16=$Q$16)*($B$5:$M$5=Y$5)*($B$6:$M$16))*100</f>
        <v>3.3320207191106531E-2</v>
      </c>
      <c r="Z9" s="24" cm="1">
        <f t="array" ref="Z9">SUMPRODUCT(($A$6:$A$16=$Q9)*($B$5:$M$5=Z$5)*($B$6:$M$16))/ SUMPRODUCT(($A$6:$A$16=$Q$16)*($B$5:$M$5=Z$5)*($B$6:$M$16))*100</f>
        <v>0.65958345517756767</v>
      </c>
      <c r="AA9" s="24" cm="1">
        <f t="array" ref="AA9">SUMPRODUCT(($A$6:$A$16=$Q9)*($B$5:$M$5=AA$5)*($B$6:$M$16))/ SUMPRODUCT(($A$6:$A$16=$Q$16)*($B$5:$M$5=AA$5)*($B$6:$M$16))*100</f>
        <v>0.25916399976439636</v>
      </c>
      <c r="AB9" s="24" cm="1">
        <f t="array" ref="AB9">SUMPRODUCT(($A$6:$A$16=$Q9)*($B$5:$M$5=AB$5)*($B$6:$M$16))/ SUMPRODUCT(($A$6:$A$16=$Q$16)*($B$5:$M$5=AB$5)*($B$6:$M$16))*100</f>
        <v>0.81984443977296606</v>
      </c>
      <c r="AC9" s="24" cm="1">
        <f t="array" ref="AC9">SUMPRODUCT(($A$6:$A$16=$Q9)*($B$5:$M$5=AC$5)*($B$6:$M$16))/ SUMPRODUCT(($A$6:$A$16=$Q$16)*($B$5:$M$5=AC$5)*($B$6:$M$16))*100</f>
        <v>1.2824298129629392</v>
      </c>
      <c r="AD9" s="24" cm="1">
        <f t="array" ref="AD9">SUMPRODUCT(($A$6:$A$16=$Q9)*($B$5:$N$5=AD$5)*($B$6:$N$16))/ SUMPRODUCT(($A$6:$A$16=$Q$16)*($B$5:$N$5=AD$5)*($B$6:$N$16))*100</f>
        <v>2.6773596733064333</v>
      </c>
      <c r="AH9" t="s">
        <v>42</v>
      </c>
      <c r="AI9">
        <v>2</v>
      </c>
      <c r="AJ9">
        <v>10</v>
      </c>
      <c r="AL9" t="s">
        <v>38</v>
      </c>
      <c r="AM9" t="s">
        <v>33</v>
      </c>
    </row>
    <row r="10" spans="1:40" x14ac:dyDescent="0.3">
      <c r="A10" s="1" t="s">
        <v>18</v>
      </c>
      <c r="B10" s="11">
        <v>237</v>
      </c>
      <c r="C10" s="12">
        <v>299</v>
      </c>
      <c r="D10" s="11">
        <v>111</v>
      </c>
      <c r="E10" s="12">
        <v>809</v>
      </c>
      <c r="F10" s="11">
        <v>297</v>
      </c>
      <c r="G10" s="12">
        <v>207</v>
      </c>
      <c r="H10" s="11">
        <v>0</v>
      </c>
      <c r="I10" s="12">
        <v>0</v>
      </c>
      <c r="J10" s="11">
        <v>0</v>
      </c>
      <c r="K10" s="12">
        <v>0</v>
      </c>
      <c r="L10" s="11">
        <v>0</v>
      </c>
      <c r="M10" s="11">
        <v>0</v>
      </c>
      <c r="N10" s="13">
        <v>1960</v>
      </c>
      <c r="Q10" t="str">
        <f t="shared" si="5"/>
        <v>Spillvarme (Rockwool)</v>
      </c>
      <c r="R10" s="24" cm="1">
        <f t="array" ref="R10">SUMPRODUCT(($A$6:$A$16=$Q10)*($B$5:$M$5=R$5)*($B$6:$M$16))/ SUMPRODUCT(($A$6:$A$16=$Q$16)*($B$5:$M$5=R$5)*($B$6:$M$16))*100</f>
        <v>0.25763669964126534</v>
      </c>
      <c r="S10" s="24" cm="1">
        <f t="array" ref="S10">SUMPRODUCT(($A$6:$A$16=$Q10)*($B$5:$M$5=S$5)*($B$6:$M$16))/ SUMPRODUCT(($A$6:$A$16=$Q$16)*($B$5:$M$5=S$5)*($B$6:$M$16))*100</f>
        <v>0.36156087887105942</v>
      </c>
      <c r="T10" s="24" cm="1">
        <f t="array" ref="T10">SUMPRODUCT(($A$6:$A$16=$Q10)*($B$5:$M$5=T$5)*($B$6:$M$16))/ SUMPRODUCT(($A$6:$A$16=$Q$16)*($B$5:$M$5=T$5)*($B$6:$M$16))*100</f>
        <v>0.1561554802132718</v>
      </c>
      <c r="U10" s="24" cm="1">
        <f t="array" ref="U10">SUMPRODUCT(($A$6:$A$16=$Q10)*($B$5:$M$5=U$5)*($B$6:$M$16))/ SUMPRODUCT(($A$6:$A$16=$Q$16)*($B$5:$M$5=U$5)*($B$6:$M$16))*100</f>
        <v>1.5666453649373535</v>
      </c>
      <c r="V10" s="24" cm="1">
        <f t="array" ref="V10">SUMPRODUCT(($A$6:$A$16=$Q10)*($B$5:$M$5=V$5)*($B$6:$M$16))/ SUMPRODUCT(($A$6:$A$16=$Q$16)*($B$5:$M$5=V$5)*($B$6:$M$16))*100</f>
        <v>0.68028769068670114</v>
      </c>
      <c r="W10" s="24" cm="1">
        <f t="array" ref="W10">SUMPRODUCT(($A$6:$A$16=$Q10)*($B$5:$M$5=W$5)*($B$6:$M$16))/ SUMPRODUCT(($A$6:$A$16=$Q$16)*($B$5:$M$5=W$5)*($B$6:$M$16))*100</f>
        <v>0.71723086518138668</v>
      </c>
      <c r="X10" s="24" cm="1">
        <f t="array" ref="X10">SUMPRODUCT(($A$6:$A$16=$Q10)*($B$5:$M$5=X$5)*($B$6:$M$16))/ SUMPRODUCT(($A$6:$A$16=$Q$16)*($B$5:$M$5=X$5)*($B$6:$M$16))*100</f>
        <v>0</v>
      </c>
      <c r="Y10" s="24" cm="1">
        <f t="array" ref="Y10">SUMPRODUCT(($A$6:$A$16=$Q10)*($B$5:$M$5=Y$5)*($B$6:$M$16))/ SUMPRODUCT(($A$6:$A$16=$Q$16)*($B$5:$M$5=Y$5)*($B$6:$M$16))*100</f>
        <v>0</v>
      </c>
      <c r="Z10" s="24" cm="1">
        <f t="array" ref="Z10">SUMPRODUCT(($A$6:$A$16=$Q10)*($B$5:$M$5=Z$5)*($B$6:$M$16))/ SUMPRODUCT(($A$6:$A$16=$Q$16)*($B$5:$M$5=Z$5)*($B$6:$M$16))*100</f>
        <v>0</v>
      </c>
      <c r="AA10" s="24" cm="1">
        <f t="array" ref="AA10">SUMPRODUCT(($A$6:$A$16=$Q10)*($B$5:$M$5=AA$5)*($B$6:$M$16))/ SUMPRODUCT(($A$6:$A$16=$Q$16)*($B$5:$M$5=AA$5)*($B$6:$M$16))*100</f>
        <v>0</v>
      </c>
      <c r="AB10" s="24" cm="1">
        <f t="array" ref="AB10">SUMPRODUCT(($A$6:$A$16=$Q10)*($B$5:$M$5=AB$5)*($B$6:$M$16))/ SUMPRODUCT(($A$6:$A$16=$Q$16)*($B$5:$M$5=AB$5)*($B$6:$M$16))*100</f>
        <v>0</v>
      </c>
      <c r="AC10" s="24" cm="1">
        <f t="array" ref="AC10">SUMPRODUCT(($A$6:$A$16=$Q10)*($B$5:$M$5=AC$5)*($B$6:$M$16))/ SUMPRODUCT(($A$6:$A$16=$Q$16)*($B$5:$M$5=AC$5)*($B$6:$M$16))*100</f>
        <v>0</v>
      </c>
      <c r="AD10" s="24" cm="1">
        <f t="array" ref="AD10">SUMPRODUCT(($A$6:$A$16=$Q10)*($B$5:$N$5=AD$5)*($B$6:$N$16))/ SUMPRODUCT(($A$6:$A$16=$Q$16)*($B$5:$N$5=AD$5)*($B$6:$N$16))*100</f>
        <v>0.29821134055126497</v>
      </c>
      <c r="AI10">
        <v>1</v>
      </c>
      <c r="AJ10">
        <v>10</v>
      </c>
      <c r="AL10" t="s">
        <v>38</v>
      </c>
      <c r="AM10" t="s">
        <v>33</v>
      </c>
    </row>
    <row r="11" spans="1:40" x14ac:dyDescent="0.3">
      <c r="A11" s="1" t="s">
        <v>19</v>
      </c>
      <c r="B11" s="11">
        <v>194</v>
      </c>
      <c r="C11" s="12">
        <v>164</v>
      </c>
      <c r="D11" s="11">
        <v>197</v>
      </c>
      <c r="E11" s="12">
        <v>97</v>
      </c>
      <c r="F11" s="11">
        <v>82</v>
      </c>
      <c r="G11" s="12">
        <v>83</v>
      </c>
      <c r="H11" s="11">
        <v>228</v>
      </c>
      <c r="I11" s="12">
        <v>215</v>
      </c>
      <c r="J11" s="11">
        <v>0</v>
      </c>
      <c r="K11" s="12">
        <v>0</v>
      </c>
      <c r="L11" s="11">
        <v>0</v>
      </c>
      <c r="M11" s="11">
        <v>0</v>
      </c>
      <c r="N11" s="13">
        <v>1260</v>
      </c>
      <c r="Q11" t="str">
        <f t="shared" si="5"/>
        <v>Varmepumpe</v>
      </c>
      <c r="R11" s="24" cm="1">
        <f t="array" ref="R11">SUMPRODUCT(($A$6:$A$16=$Q11)*($B$5:$M$5=R$5)*($B$6:$M$16))/ SUMPRODUCT(($A$6:$A$16=$Q$16)*($B$5:$M$5=R$5)*($B$6:$M$16))*100</f>
        <v>0.21089248831394716</v>
      </c>
      <c r="S11" s="24" cm="1">
        <f t="array" ref="S11">SUMPRODUCT(($A$6:$A$16=$Q11)*($B$5:$M$5=S$5)*($B$6:$M$16))/ SUMPRODUCT(($A$6:$A$16=$Q$16)*($B$5:$M$5=S$5)*($B$6:$M$16))*100</f>
        <v>0.19831432821021316</v>
      </c>
      <c r="T11" s="24" cm="1">
        <f t="array" ref="T11">SUMPRODUCT(($A$6:$A$16=$Q11)*($B$5:$M$5=T$5)*($B$6:$M$16))/ SUMPRODUCT(($A$6:$A$16=$Q$16)*($B$5:$M$5=T$5)*($B$6:$M$16))*100</f>
        <v>0.27714080722535628</v>
      </c>
      <c r="U11" s="24" cm="1">
        <f t="array" ref="U11">SUMPRODUCT(($A$6:$A$16=$Q11)*($B$5:$M$5=U$5)*($B$6:$M$16))/ SUMPRODUCT(($A$6:$A$16=$Q$16)*($B$5:$M$5=U$5)*($B$6:$M$16))*100</f>
        <v>0.18784252212475069</v>
      </c>
      <c r="V11" s="24" cm="1">
        <f t="array" ref="V11">SUMPRODUCT(($A$6:$A$16=$Q11)*($B$5:$M$5=V$5)*($B$6:$M$16))/ SUMPRODUCT(($A$6:$A$16=$Q$16)*($B$5:$M$5=V$5)*($B$6:$M$16))*100</f>
        <v>0.18782353749599157</v>
      </c>
      <c r="W11" s="24" cm="1">
        <f t="array" ref="W11">SUMPRODUCT(($A$6:$A$16=$Q11)*($B$5:$M$5=W$5)*($B$6:$M$16))/ SUMPRODUCT(($A$6:$A$16=$Q$16)*($B$5:$M$5=W$5)*($B$6:$M$16))*100</f>
        <v>0.28758532275388932</v>
      </c>
      <c r="X11" s="24" cm="1">
        <f t="array" ref="X11">SUMPRODUCT(($A$6:$A$16=$Q11)*($B$5:$M$5=X$5)*($B$6:$M$16))/ SUMPRODUCT(($A$6:$A$16=$Q$16)*($B$5:$M$5=X$5)*($B$6:$M$16))*100</f>
        <v>0.97657086563584183</v>
      </c>
      <c r="Y11" s="24" cm="1">
        <f t="array" ref="Y11">SUMPRODUCT(($A$6:$A$16=$Q11)*($B$5:$M$5=Y$5)*($B$6:$M$16))/ SUMPRODUCT(($A$6:$A$16=$Q$16)*($B$5:$M$5=Y$5)*($B$6:$M$16))*100</f>
        <v>0.65125859509890038</v>
      </c>
      <c r="Z11" s="24" cm="1">
        <f t="array" ref="Z11">SUMPRODUCT(($A$6:$A$16=$Q11)*($B$5:$M$5=Z$5)*($B$6:$M$16))/ SUMPRODUCT(($A$6:$A$16=$Q$16)*($B$5:$M$5=Z$5)*($B$6:$M$16))*100</f>
        <v>0</v>
      </c>
      <c r="AA11" s="24" cm="1">
        <f t="array" ref="AA11">SUMPRODUCT(($A$6:$A$16=$Q11)*($B$5:$M$5=AA$5)*($B$6:$M$16))/ SUMPRODUCT(($A$6:$A$16=$Q$16)*($B$5:$M$5=AA$5)*($B$6:$M$16))*100</f>
        <v>0</v>
      </c>
      <c r="AB11" s="24" cm="1">
        <f t="array" ref="AB11">SUMPRODUCT(($A$6:$A$16=$Q11)*($B$5:$M$5=AB$5)*($B$6:$M$16))/ SUMPRODUCT(($A$6:$A$16=$Q$16)*($B$5:$M$5=AB$5)*($B$6:$M$16))*100</f>
        <v>0</v>
      </c>
      <c r="AC11" s="24" cm="1">
        <f t="array" ref="AC11">SUMPRODUCT(($A$6:$A$16=$Q11)*($B$5:$M$5=AC$5)*($B$6:$M$16))/ SUMPRODUCT(($A$6:$A$16=$Q$16)*($B$5:$M$5=AC$5)*($B$6:$M$16))*100</f>
        <v>0</v>
      </c>
      <c r="AD11" s="24" cm="1">
        <f t="array" ref="AD11">SUMPRODUCT(($A$6:$A$16=$Q11)*($B$5:$N$5=AD$5)*($B$6:$N$16))/ SUMPRODUCT(($A$6:$A$16=$Q$16)*($B$5:$N$5=AD$5)*($B$6:$N$16))*100</f>
        <v>0.19170729035438461</v>
      </c>
      <c r="AH11" s="31"/>
      <c r="AI11" s="32">
        <v>1</v>
      </c>
      <c r="AJ11" s="32">
        <v>25</v>
      </c>
      <c r="AK11" s="32"/>
      <c r="AL11" s="32" t="s">
        <v>39</v>
      </c>
      <c r="AM11" s="32" t="s">
        <v>33</v>
      </c>
      <c r="AN11" s="31"/>
    </row>
    <row r="12" spans="1:40" x14ac:dyDescent="0.3">
      <c r="A12" s="1" t="s">
        <v>23</v>
      </c>
      <c r="B12" s="8">
        <v>26344</v>
      </c>
      <c r="C12" s="9">
        <v>25718</v>
      </c>
      <c r="D12" s="8">
        <v>21771</v>
      </c>
      <c r="E12" s="9">
        <v>9904</v>
      </c>
      <c r="F12" s="8">
        <v>13231</v>
      </c>
      <c r="G12" s="9">
        <v>9671</v>
      </c>
      <c r="H12" s="11">
        <v>60</v>
      </c>
      <c r="I12" s="9">
        <v>6390</v>
      </c>
      <c r="J12" s="8">
        <v>5500</v>
      </c>
      <c r="K12" s="9">
        <v>12008</v>
      </c>
      <c r="L12" s="8">
        <v>22493</v>
      </c>
      <c r="M12" s="8">
        <v>23607</v>
      </c>
      <c r="N12" s="13">
        <v>176697</v>
      </c>
      <c r="Q12" t="str">
        <f t="shared" si="5"/>
        <v>El-kjeler</v>
      </c>
      <c r="R12" s="24" cm="1">
        <f t="array" ref="R12">SUMPRODUCT(($A$6:$A$16=$Q12)*($B$5:$M$5=R$5)*($B$6:$M$16))/ SUMPRODUCT(($A$6:$A$16=$Q$16)*($B$5:$M$5=R$5)*($B$6:$M$16))*100</f>
        <v>28.637895423415589</v>
      </c>
      <c r="S12" s="24" cm="1">
        <f t="array" ref="S12">SUMPRODUCT(($A$6:$A$16=$Q12)*($B$5:$M$5=S$5)*($B$6:$M$16))/ SUMPRODUCT(($A$6:$A$16=$Q$16)*($B$5:$M$5=S$5)*($B$6:$M$16))*100</f>
        <v>31.099072517745508</v>
      </c>
      <c r="T12" s="24" cm="1">
        <f t="array" ref="T12">SUMPRODUCT(($A$6:$A$16=$Q12)*($B$5:$M$5=T$5)*($B$6:$M$16))/ SUMPRODUCT(($A$6:$A$16=$Q$16)*($B$5:$M$5=T$5)*($B$6:$M$16))*100</f>
        <v>30.627576213721987</v>
      </c>
      <c r="U12" s="24" cm="1">
        <f t="array" ref="U12">SUMPRODUCT(($A$6:$A$16=$Q12)*($B$5:$M$5=U$5)*($B$6:$M$16))/ SUMPRODUCT(($A$6:$A$16=$Q$16)*($B$5:$M$5=U$5)*($B$6:$M$16))*100</f>
        <v>19.179302465191036</v>
      </c>
      <c r="V12" s="24" cm="1">
        <f t="array" ref="V12">SUMPRODUCT(($A$6:$A$16=$Q12)*($B$5:$M$5=V$5)*($B$6:$M$16))/ SUMPRODUCT(($A$6:$A$16=$Q$16)*($B$5:$M$5=V$5)*($B$6:$M$16))*100</f>
        <v>30.306014934261761</v>
      </c>
      <c r="W12" s="24" cm="1">
        <f t="array" ref="W12">SUMPRODUCT(($A$6:$A$16=$Q12)*($B$5:$M$5=W$5)*($B$6:$M$16))/ SUMPRODUCT(($A$6:$A$16=$Q$16)*($B$5:$M$5=W$5)*($B$6:$M$16))*100</f>
        <v>33.508887425938113</v>
      </c>
      <c r="X12" s="24" cm="1">
        <f t="array" ref="X12">SUMPRODUCT(($A$6:$A$16=$Q12)*($B$5:$M$5=X$5)*($B$6:$M$16))/ SUMPRODUCT(($A$6:$A$16=$Q$16)*($B$5:$M$5=X$5)*($B$6:$M$16))*100</f>
        <v>0.25699233306206365</v>
      </c>
      <c r="Y12" s="24" cm="1">
        <f t="array" ref="Y12">SUMPRODUCT(($A$6:$A$16=$Q12)*($B$5:$M$5=Y$5)*($B$6:$M$16))/ SUMPRODUCT(($A$6:$A$16=$Q$16)*($B$5:$M$5=Y$5)*($B$6:$M$16))*100</f>
        <v>19.356011268288249</v>
      </c>
      <c r="Z12" s="24" cm="1">
        <f t="array" ref="Z12">SUMPRODUCT(($A$6:$A$16=$Q12)*($B$5:$M$5=Z$5)*($B$6:$M$16))/ SUMPRODUCT(($A$6:$A$16=$Q$16)*($B$5:$M$5=Z$5)*($B$6:$M$16))*100</f>
        <v>17.870487701855282</v>
      </c>
      <c r="AA12" s="24" cm="1">
        <f t="array" ref="AA12">SUMPRODUCT(($A$6:$A$16=$Q12)*($B$5:$M$5=AA$5)*($B$6:$M$16))/ SUMPRODUCT(($A$6:$A$16=$Q$16)*($B$5:$M$5=AA$5)*($B$6:$M$16))*100</f>
        <v>23.576070524021752</v>
      </c>
      <c r="AB12" s="24" cm="1">
        <f t="array" ref="AB12">SUMPRODUCT(($A$6:$A$16=$Q12)*($B$5:$M$5=AB$5)*($B$6:$M$16))/ SUMPRODUCT(($A$6:$A$16=$Q$16)*($B$5:$M$5=AB$5)*($B$6:$M$16))*100</f>
        <v>31.522668348398852</v>
      </c>
      <c r="AC12" s="24" cm="1">
        <f t="array" ref="AC12">SUMPRODUCT(($A$6:$A$16=$Q12)*($B$5:$M$5=AC$5)*($B$6:$M$16))/ SUMPRODUCT(($A$6:$A$16=$Q$16)*($B$5:$M$5=AC$5)*($B$6:$M$16))*100</f>
        <v>30.304625219835941</v>
      </c>
      <c r="AD12" s="24" cm="1">
        <f t="array" ref="AD12">SUMPRODUCT(($A$6:$A$16=$Q12)*($B$5:$N$5=AD$5)*($B$6:$N$16))/ SUMPRODUCT(($A$6:$A$16=$Q$16)*($B$5:$N$5=AD$5)*($B$6:$N$16))*100</f>
        <v>26.884208796625952</v>
      </c>
      <c r="AH12" s="33" t="s">
        <v>43</v>
      </c>
      <c r="AI12" s="34">
        <v>2</v>
      </c>
      <c r="AJ12" s="34">
        <v>25</v>
      </c>
      <c r="AK12" s="34"/>
      <c r="AL12" s="34" t="s">
        <v>21</v>
      </c>
      <c r="AM12" s="34" t="s">
        <v>33</v>
      </c>
      <c r="AN12" s="33"/>
    </row>
    <row r="13" spans="1:40" x14ac:dyDescent="0.3">
      <c r="A13" s="1" t="s">
        <v>20</v>
      </c>
      <c r="B13" s="11">
        <v>0</v>
      </c>
      <c r="C13" s="12">
        <v>0</v>
      </c>
      <c r="D13" s="11">
        <v>0</v>
      </c>
      <c r="E13" s="12">
        <v>0</v>
      </c>
      <c r="F13" s="11">
        <v>0</v>
      </c>
      <c r="G13" s="12">
        <v>0</v>
      </c>
      <c r="H13" s="11">
        <v>0</v>
      </c>
      <c r="I13" s="12">
        <v>0</v>
      </c>
      <c r="J13" s="11">
        <v>0</v>
      </c>
      <c r="K13" s="12">
        <v>0</v>
      </c>
      <c r="L13" s="11">
        <v>0</v>
      </c>
      <c r="M13" s="11">
        <v>0</v>
      </c>
      <c r="N13" s="14">
        <v>0</v>
      </c>
      <c r="Q13" t="str">
        <f t="shared" si="5"/>
        <v>LNG</v>
      </c>
      <c r="R13" s="24" cm="1">
        <f t="array" ref="R13">SUMPRODUCT(($A$6:$A$16=$Q13)*($B$5:$M$5=R$5)*($B$6:$M$16))/ SUMPRODUCT(($A$6:$A$16=$Q$16)*($B$5:$M$5=R$5)*($B$6:$M$16))*100</f>
        <v>0</v>
      </c>
      <c r="S13" s="24" cm="1">
        <f t="array" ref="S13">SUMPRODUCT(($A$6:$A$16=$Q13)*($B$5:$M$5=S$5)*($B$6:$M$16))/ SUMPRODUCT(($A$6:$A$16=$Q$16)*($B$5:$M$5=S$5)*($B$6:$M$16))*100</f>
        <v>0</v>
      </c>
      <c r="T13" s="24" cm="1">
        <f t="array" ref="T13">SUMPRODUCT(($A$6:$A$16=$Q13)*($B$5:$M$5=T$5)*($B$6:$M$16))/ SUMPRODUCT(($A$6:$A$16=$Q$16)*($B$5:$M$5=T$5)*($B$6:$M$16))*100</f>
        <v>0</v>
      </c>
      <c r="U13" s="24" cm="1">
        <f t="array" ref="U13">SUMPRODUCT(($A$6:$A$16=$Q13)*($B$5:$M$5=U$5)*($B$6:$M$16))/ SUMPRODUCT(($A$6:$A$16=$Q$16)*($B$5:$M$5=U$5)*($B$6:$M$16))*100</f>
        <v>0</v>
      </c>
      <c r="V13" s="24" cm="1">
        <f t="array" ref="V13">SUMPRODUCT(($A$6:$A$16=$Q13)*($B$5:$M$5=V$5)*($B$6:$M$16))/ SUMPRODUCT(($A$6:$A$16=$Q$16)*($B$5:$M$5=V$5)*($B$6:$M$16))*100</f>
        <v>0</v>
      </c>
      <c r="W13" s="24" cm="1">
        <f t="array" ref="W13">SUMPRODUCT(($A$6:$A$16=$Q13)*($B$5:$M$5=W$5)*($B$6:$M$16))/ SUMPRODUCT(($A$6:$A$16=$Q$16)*($B$5:$M$5=W$5)*($B$6:$M$16))*100</f>
        <v>0</v>
      </c>
      <c r="X13" s="24" cm="1">
        <f t="array" ref="X13">SUMPRODUCT(($A$6:$A$16=$Q13)*($B$5:$M$5=X$5)*($B$6:$M$16))/ SUMPRODUCT(($A$6:$A$16=$Q$16)*($B$5:$M$5=X$5)*($B$6:$M$16))*100</f>
        <v>0</v>
      </c>
      <c r="Y13" s="24" cm="1">
        <f t="array" ref="Y13">SUMPRODUCT(($A$6:$A$16=$Q13)*($B$5:$M$5=Y$5)*($B$6:$M$16))/ SUMPRODUCT(($A$6:$A$16=$Q$16)*($B$5:$M$5=Y$5)*($B$6:$M$16))*100</f>
        <v>0</v>
      </c>
      <c r="Z13" s="24" cm="1">
        <f t="array" ref="Z13">SUMPRODUCT(($A$6:$A$16=$Q13)*($B$5:$M$5=Z$5)*($B$6:$M$16))/ SUMPRODUCT(($A$6:$A$16=$Q$16)*($B$5:$M$5=Z$5)*($B$6:$M$16))*100</f>
        <v>0</v>
      </c>
      <c r="AA13" s="24" cm="1">
        <f t="array" ref="AA13">SUMPRODUCT(($A$6:$A$16=$Q13)*($B$5:$M$5=AA$5)*($B$6:$M$16))/ SUMPRODUCT(($A$6:$A$16=$Q$16)*($B$5:$M$5=AA$5)*($B$6:$M$16))*100</f>
        <v>0</v>
      </c>
      <c r="AB13" s="24" cm="1">
        <f t="array" ref="AB13">SUMPRODUCT(($A$6:$A$16=$Q13)*($B$5:$M$5=AB$5)*($B$6:$M$16))/ SUMPRODUCT(($A$6:$A$16=$Q$16)*($B$5:$M$5=AB$5)*($B$6:$M$16))*100</f>
        <v>0</v>
      </c>
      <c r="AC13" s="24" cm="1">
        <f t="array" ref="AC13">SUMPRODUCT(($A$6:$A$16=$Q13)*($B$5:$M$5=AC$5)*($B$6:$M$16))/ SUMPRODUCT(($A$6:$A$16=$Q$16)*($B$5:$M$5=AC$5)*($B$6:$M$16))*100</f>
        <v>0</v>
      </c>
      <c r="AD13" s="24" cm="1">
        <f t="array" ref="AD13">SUMPRODUCT(($A$6:$A$16=$Q13)*($B$5:$N$5=AD$5)*($B$6:$N$16))/ SUMPRODUCT(($A$6:$A$16=$Q$16)*($B$5:$N$5=AD$5)*($B$6:$N$16))*100</f>
        <v>0</v>
      </c>
      <c r="AH13" s="33" t="s">
        <v>44</v>
      </c>
      <c r="AI13" s="35">
        <v>1</v>
      </c>
      <c r="AJ13" s="35">
        <v>9</v>
      </c>
      <c r="AK13" s="35"/>
      <c r="AL13" s="35" t="s">
        <v>45</v>
      </c>
      <c r="AM13" s="35" t="s">
        <v>33</v>
      </c>
      <c r="AN13" s="33">
        <v>2002</v>
      </c>
    </row>
    <row r="14" spans="1:40" x14ac:dyDescent="0.3">
      <c r="A14" s="1" t="s">
        <v>21</v>
      </c>
      <c r="B14" s="8">
        <v>9175</v>
      </c>
      <c r="C14" s="9">
        <v>4181</v>
      </c>
      <c r="D14" s="8">
        <v>1981</v>
      </c>
      <c r="E14" s="9">
        <v>1782</v>
      </c>
      <c r="F14" s="11">
        <v>488</v>
      </c>
      <c r="G14" s="12">
        <v>339</v>
      </c>
      <c r="H14" s="11">
        <v>12</v>
      </c>
      <c r="I14" s="12">
        <v>979</v>
      </c>
      <c r="J14" s="11">
        <v>161</v>
      </c>
      <c r="K14" s="12">
        <v>81</v>
      </c>
      <c r="L14" s="8">
        <v>5288</v>
      </c>
      <c r="M14" s="8">
        <v>5413</v>
      </c>
      <c r="N14" s="13">
        <v>29880</v>
      </c>
      <c r="Q14" t="str">
        <f t="shared" si="5"/>
        <v>LPG</v>
      </c>
      <c r="R14" s="24" cm="1">
        <f t="array" ref="R14">SUMPRODUCT(($A$6:$A$16=$Q14)*($B$5:$M$5=R$5)*($B$6:$M$16))/ SUMPRODUCT(($A$6:$A$16=$Q$16)*($B$5:$M$5=R$5)*($B$6:$M$16))*100</f>
        <v>9.9739102076312651</v>
      </c>
      <c r="S14" s="24" cm="1">
        <f t="array" ref="S14">SUMPRODUCT(($A$6:$A$16=$Q14)*($B$5:$M$5=S$5)*($B$6:$M$16))/ SUMPRODUCT(($A$6:$A$16=$Q$16)*($B$5:$M$5=S$5)*($B$6:$M$16))*100</f>
        <v>5.0558061356518369</v>
      </c>
      <c r="T14" s="24" cm="1">
        <f t="array" ref="T14">SUMPRODUCT(($A$6:$A$16=$Q14)*($B$5:$M$5=T$5)*($B$6:$M$16))/ SUMPRODUCT(($A$6:$A$16=$Q$16)*($B$5:$M$5=T$5)*($B$6:$M$16))*100</f>
        <v>2.7868829396620853</v>
      </c>
      <c r="U14" s="24" cm="1">
        <f t="array" ref="U14">SUMPRODUCT(($A$6:$A$16=$Q14)*($B$5:$M$5=U$5)*($B$6:$M$16))/ SUMPRODUCT(($A$6:$A$16=$Q$16)*($B$5:$M$5=U$5)*($B$6:$M$16))*100</f>
        <v>3.4508801487248011</v>
      </c>
      <c r="V14" s="24" cm="1">
        <f t="array" ref="V14">SUMPRODUCT(($A$6:$A$16=$Q14)*($B$5:$M$5=V$5)*($B$6:$M$16))/ SUMPRODUCT(($A$6:$A$16=$Q$16)*($B$5:$M$5=V$5)*($B$6:$M$16))*100</f>
        <v>1.1177791011956573</v>
      </c>
      <c r="W14" s="24" cm="1">
        <f t="array" ref="W14">SUMPRODUCT(($A$6:$A$16=$Q14)*($B$5:$M$5=W$5)*($B$6:$M$16))/ SUMPRODUCT(($A$6:$A$16=$Q$16)*($B$5:$M$5=W$5)*($B$6:$M$16))*100</f>
        <v>1.1745954748622709</v>
      </c>
      <c r="X14" s="24" cm="1">
        <f t="array" ref="X14">SUMPRODUCT(($A$6:$A$16=$Q14)*($B$5:$M$5=X$5)*($B$6:$M$16))/ SUMPRODUCT(($A$6:$A$16=$Q$16)*($B$5:$M$5=X$5)*($B$6:$M$16))*100</f>
        <v>5.1398466612412728E-2</v>
      </c>
      <c r="Y14" s="24" cm="1">
        <f t="array" ref="Y14">SUMPRODUCT(($A$6:$A$16=$Q14)*($B$5:$M$5=Y$5)*($B$6:$M$16))/ SUMPRODUCT(($A$6:$A$16=$Q$16)*($B$5:$M$5=Y$5)*($B$6:$M$16))*100</f>
        <v>2.9654984400084814</v>
      </c>
      <c r="Z14" s="24" cm="1">
        <f t="array" ref="Z14">SUMPRODUCT(($A$6:$A$16=$Q14)*($B$5:$M$5=Z$5)*($B$6:$M$16))/ SUMPRODUCT(($A$6:$A$16=$Q$16)*($B$5:$M$5=Z$5)*($B$6:$M$16))*100</f>
        <v>0.52311791272703645</v>
      </c>
      <c r="AA14" s="24" cm="1">
        <f t="array" ref="AA14">SUMPRODUCT(($A$6:$A$16=$Q14)*($B$5:$M$5=AA$5)*($B$6:$M$16))/ SUMPRODUCT(($A$6:$A$16=$Q$16)*($B$5:$M$5=AA$5)*($B$6:$M$16))*100</f>
        <v>0.1590324544008796</v>
      </c>
      <c r="AB14" s="24" cm="1">
        <f t="array" ref="AB14">SUMPRODUCT(($A$6:$A$16=$Q14)*($B$5:$M$5=AB$5)*($B$6:$M$16))/ SUMPRODUCT(($A$6:$A$16=$Q$16)*($B$5:$M$5=AB$5)*($B$6:$M$16))*100</f>
        <v>7.4108331581528981</v>
      </c>
      <c r="AC14" s="24" cm="1">
        <f t="array" ref="AC14">SUMPRODUCT(($A$6:$A$16=$Q14)*($B$5:$M$5=AC$5)*($B$6:$M$16))/ SUMPRODUCT(($A$6:$A$16=$Q$16)*($B$5:$M$5=AC$5)*($B$6:$M$16))*100</f>
        <v>6.9487413188872775</v>
      </c>
      <c r="AD14" s="24" cm="1">
        <f t="array" ref="AD14">SUMPRODUCT(($A$6:$A$16=$Q14)*($B$5:$N$5=AD$5)*($B$6:$N$16))/ SUMPRODUCT(($A$6:$A$16=$Q$16)*($B$5:$N$5=AD$5)*($B$6:$N$16))*100</f>
        <v>4.5462014569754068</v>
      </c>
      <c r="AH14" s="33" t="s">
        <v>46</v>
      </c>
      <c r="AI14" s="36">
        <v>1</v>
      </c>
      <c r="AJ14" s="36">
        <v>20</v>
      </c>
      <c r="AK14" s="36"/>
      <c r="AL14" s="36" t="s">
        <v>39</v>
      </c>
      <c r="AM14" s="36" t="s">
        <v>33</v>
      </c>
      <c r="AN14" s="33"/>
    </row>
    <row r="15" spans="1:40" x14ac:dyDescent="0.3">
      <c r="A15" s="2" t="s">
        <v>22</v>
      </c>
      <c r="B15" s="15">
        <v>3410</v>
      </c>
      <c r="C15" s="16">
        <v>1582</v>
      </c>
      <c r="D15" s="17">
        <v>238</v>
      </c>
      <c r="E15" s="18">
        <v>0</v>
      </c>
      <c r="F15" s="17">
        <v>11</v>
      </c>
      <c r="G15" s="18">
        <v>0</v>
      </c>
      <c r="H15" s="17">
        <v>0</v>
      </c>
      <c r="I15" s="18">
        <v>0</v>
      </c>
      <c r="J15" s="17">
        <v>0</v>
      </c>
      <c r="K15" s="18">
        <v>9</v>
      </c>
      <c r="L15" s="17">
        <v>294</v>
      </c>
      <c r="M15" s="17">
        <v>550</v>
      </c>
      <c r="N15" s="19">
        <v>6093</v>
      </c>
      <c r="Q15" t="str">
        <f t="shared" si="5"/>
        <v>Oljekjeler</v>
      </c>
      <c r="R15" s="24" cm="1">
        <f t="array" ref="R15">SUMPRODUCT(($A$6:$A$16=$Q15)*($B$5:$M$5=R$5)*($B$6:$M$16))/ SUMPRODUCT(($A$6:$A$16=$Q$16)*($B$5:$M$5=R$5)*($B$6:$M$16))*100</f>
        <v>3.7069246657245354</v>
      </c>
      <c r="S15" s="24" cm="1">
        <f t="array" ref="S15">SUMPRODUCT(($A$6:$A$16=$Q15)*($B$5:$M$5=S$5)*($B$6:$M$16))/ SUMPRODUCT(($A$6:$A$16=$Q$16)*($B$5:$M$5=S$5)*($B$6:$M$16))*100</f>
        <v>1.9130077270033981</v>
      </c>
      <c r="T15" s="24" cm="1">
        <f t="array" ref="T15">SUMPRODUCT(($A$6:$A$16=$Q15)*($B$5:$M$5=T$5)*($B$6:$M$16))/ SUMPRODUCT(($A$6:$A$16=$Q$16)*($B$5:$M$5=T$5)*($B$6:$M$16))*100</f>
        <v>0.33481985847530354</v>
      </c>
      <c r="U15" s="24" cm="1">
        <f t="array" ref="U15">SUMPRODUCT(($A$6:$A$16=$Q15)*($B$5:$M$5=U$5)*($B$6:$M$16))/ SUMPRODUCT(($A$6:$A$16=$Q$16)*($B$5:$M$5=U$5)*($B$6:$M$16))*100</f>
        <v>0</v>
      </c>
      <c r="V15" s="24" cm="1">
        <f t="array" ref="V15">SUMPRODUCT(($A$6:$A$16=$Q15)*($B$5:$M$5=V$5)*($B$6:$M$16))/ SUMPRODUCT(($A$6:$A$16=$Q$16)*($B$5:$M$5=V$5)*($B$6:$M$16))*100</f>
        <v>2.5195840395803748E-2</v>
      </c>
      <c r="W15" s="24" cm="1">
        <f t="array" ref="W15">SUMPRODUCT(($A$6:$A$16=$Q15)*($B$5:$M$5=W$5)*($B$6:$M$16))/ SUMPRODUCT(($A$6:$A$16=$Q$16)*($B$5:$M$5=W$5)*($B$6:$M$16))*100</f>
        <v>0</v>
      </c>
      <c r="X15" s="24" cm="1">
        <f t="array" ref="X15">SUMPRODUCT(($A$6:$A$16=$Q15)*($B$5:$M$5=X$5)*($B$6:$M$16))/ SUMPRODUCT(($A$6:$A$16=$Q$16)*($B$5:$M$5=X$5)*($B$6:$M$16))*100</f>
        <v>0</v>
      </c>
      <c r="Y15" s="24" cm="1">
        <f t="array" ref="Y15">SUMPRODUCT(($A$6:$A$16=$Q15)*($B$5:$M$5=Y$5)*($B$6:$M$16))/ SUMPRODUCT(($A$6:$A$16=$Q$16)*($B$5:$M$5=Y$5)*($B$6:$M$16))*100</f>
        <v>0</v>
      </c>
      <c r="Z15" s="24" cm="1">
        <f t="array" ref="Z15">SUMPRODUCT(($A$6:$A$16=$Q15)*($B$5:$M$5=Z$5)*($B$6:$M$16))/ SUMPRODUCT(($A$6:$A$16=$Q$16)*($B$5:$M$5=Z$5)*($B$6:$M$16))*100</f>
        <v>0</v>
      </c>
      <c r="AA15" s="24" cm="1">
        <f t="array" ref="AA15">SUMPRODUCT(($A$6:$A$16=$Q15)*($B$5:$M$5=AA$5)*($B$6:$M$16))/ SUMPRODUCT(($A$6:$A$16=$Q$16)*($B$5:$M$5=AA$5)*($B$6:$M$16))*100</f>
        <v>1.7670272711208843E-2</v>
      </c>
      <c r="AB15" s="24" cm="1">
        <f t="array" ref="AB15">SUMPRODUCT(($A$6:$A$16=$Q15)*($B$5:$M$5=AB$5)*($B$6:$M$16))/ SUMPRODUCT(($A$6:$A$16=$Q$16)*($B$5:$M$5=AB$5)*($B$6:$M$16))*100</f>
        <v>0.41202438511667011</v>
      </c>
      <c r="AC15" s="24" cm="1">
        <f t="array" ref="AC15">SUMPRODUCT(($A$6:$A$16=$Q15)*($B$5:$M$5=AC$5)*($B$6:$M$16))/ SUMPRODUCT(($A$6:$A$16=$Q$16)*($B$5:$M$5=AC$5)*($B$6:$M$16))*100</f>
        <v>0.70604243956918578</v>
      </c>
      <c r="AD15" s="24" cm="1">
        <f t="array" ref="AD15">SUMPRODUCT(($A$6:$A$16=$Q15)*($B$5:$N$5=AD$5)*($B$6:$N$16))/ SUMPRODUCT(($A$6:$A$16=$Q$16)*($B$5:$N$5=AD$5)*($B$6:$N$16))*100</f>
        <v>0.92704168264227427</v>
      </c>
      <c r="AH15" s="33" t="s">
        <v>47</v>
      </c>
      <c r="AI15" s="37">
        <v>1</v>
      </c>
      <c r="AJ15" s="37">
        <v>1</v>
      </c>
      <c r="AK15" s="37"/>
      <c r="AL15" s="37"/>
      <c r="AM15" s="37" t="s">
        <v>48</v>
      </c>
      <c r="AN15" s="33"/>
    </row>
    <row r="16" spans="1:40" ht="15" thickBot="1" x14ac:dyDescent="0.35">
      <c r="A16" s="3" t="s">
        <v>13</v>
      </c>
      <c r="B16" s="20">
        <v>91990</v>
      </c>
      <c r="C16" s="20">
        <v>82697</v>
      </c>
      <c r="D16" s="20">
        <v>71083</v>
      </c>
      <c r="E16" s="20">
        <v>51639</v>
      </c>
      <c r="F16" s="20">
        <v>43658</v>
      </c>
      <c r="G16" s="20">
        <v>28861</v>
      </c>
      <c r="H16" s="20">
        <v>23347</v>
      </c>
      <c r="I16" s="20">
        <v>33013</v>
      </c>
      <c r="J16" s="20">
        <v>30777</v>
      </c>
      <c r="K16" s="20">
        <v>50933</v>
      </c>
      <c r="L16" s="20">
        <v>71355</v>
      </c>
      <c r="M16" s="20">
        <v>77899</v>
      </c>
      <c r="N16" s="21">
        <v>657252</v>
      </c>
      <c r="Q16" t="str">
        <f t="shared" si="5"/>
        <v>Sum</v>
      </c>
      <c r="R16" s="24" cm="1">
        <f t="array" ref="R16">SUMPRODUCT(($A$6:$A$16=$Q16)*($B$5:$M$5=R$5)*($B$6:$M$16))/ SUMPRODUCT(($A$6:$A$16=$Q$16)*($B$5:$M$5=R$5)*($B$6:$M$16))*100</f>
        <v>100</v>
      </c>
      <c r="S16" s="24" cm="1">
        <f t="array" ref="S16">SUMPRODUCT(($A$6:$A$16=$Q16)*($B$5:$M$5=S$5)*($B$6:$M$16))/ SUMPRODUCT(($A$6:$A$16=$Q$16)*($B$5:$M$5=S$5)*($B$6:$M$16))*100</f>
        <v>100</v>
      </c>
      <c r="T16" s="24" cm="1">
        <f t="array" ref="T16">SUMPRODUCT(($A$6:$A$16=$Q16)*($B$5:$M$5=T$5)*($B$6:$M$16))/ SUMPRODUCT(($A$6:$A$16=$Q$16)*($B$5:$M$5=T$5)*($B$6:$M$16))*100</f>
        <v>100</v>
      </c>
      <c r="U16" s="24" cm="1">
        <f t="array" ref="U16">SUMPRODUCT(($A$6:$A$16=$Q16)*($B$5:$M$5=U$5)*($B$6:$M$16))/ SUMPRODUCT(($A$6:$A$16=$Q$16)*($B$5:$M$5=U$5)*($B$6:$M$16))*100</f>
        <v>100</v>
      </c>
      <c r="V16" s="24" cm="1">
        <f t="array" ref="V16">SUMPRODUCT(($A$6:$A$16=$Q16)*($B$5:$M$5=V$5)*($B$6:$M$16))/ SUMPRODUCT(($A$6:$A$16=$Q$16)*($B$5:$M$5=V$5)*($B$6:$M$16))*100</f>
        <v>100</v>
      </c>
      <c r="W16" s="24" cm="1">
        <f t="array" ref="W16">SUMPRODUCT(($A$6:$A$16=$Q16)*($B$5:$M$5=W$5)*($B$6:$M$16))/ SUMPRODUCT(($A$6:$A$16=$Q$16)*($B$5:$M$5=W$5)*($B$6:$M$16))*100</f>
        <v>100</v>
      </c>
      <c r="X16" s="24" cm="1">
        <f t="array" ref="X16">SUMPRODUCT(($A$6:$A$16=$Q16)*($B$5:$M$5=X$5)*($B$6:$M$16))/ SUMPRODUCT(($A$6:$A$16=$Q$16)*($B$5:$M$5=X$5)*($B$6:$M$16))*100</f>
        <v>100</v>
      </c>
      <c r="Y16" s="24" cm="1">
        <f t="array" ref="Y16">SUMPRODUCT(($A$6:$A$16=$Q16)*($B$5:$M$5=Y$5)*($B$6:$M$16))/ SUMPRODUCT(($A$6:$A$16=$Q$16)*($B$5:$M$5=Y$5)*($B$6:$M$16))*100</f>
        <v>100</v>
      </c>
      <c r="Z16" s="24" cm="1">
        <f t="array" ref="Z16">SUMPRODUCT(($A$6:$A$16=$Q16)*($B$5:$M$5=Z$5)*($B$6:$M$16))/ SUMPRODUCT(($A$6:$A$16=$Q$16)*($B$5:$M$5=Z$5)*($B$6:$M$16))*100</f>
        <v>100</v>
      </c>
      <c r="AA16" s="24" cm="1">
        <f t="array" ref="AA16">SUMPRODUCT(($A$6:$A$16=$Q16)*($B$5:$M$5=AA$5)*($B$6:$M$16))/ SUMPRODUCT(($A$6:$A$16=$Q$16)*($B$5:$M$5=AA$5)*($B$6:$M$16))*100</f>
        <v>100</v>
      </c>
      <c r="AB16" s="24" cm="1">
        <f t="array" ref="AB16">SUMPRODUCT(($A$6:$A$16=$Q16)*($B$5:$M$5=AB$5)*($B$6:$M$16))/ SUMPRODUCT(($A$6:$A$16=$Q$16)*($B$5:$M$5=AB$5)*($B$6:$M$16))*100</f>
        <v>100</v>
      </c>
      <c r="AC16" s="24" cm="1">
        <f t="array" ref="AC16">SUMPRODUCT(($A$6:$A$16=$Q16)*($B$5:$M$5=AC$5)*($B$6:$M$16))/ SUMPRODUCT(($A$6:$A$16=$Q$16)*($B$5:$M$5=AC$5)*($B$6:$M$16))*100</f>
        <v>100</v>
      </c>
      <c r="AD16" s="24" cm="1">
        <f t="array" ref="AD16">SUMPRODUCT(($A$6:$A$16=$Q16)*($B$5:$N$5=AD$5)*($B$6:$N$16))/ SUMPRODUCT(($A$6:$A$16=$Q$16)*($B$5:$N$5=AD$5)*($B$6:$N$16))*100</f>
        <v>100</v>
      </c>
      <c r="AH16" s="38" t="s">
        <v>49</v>
      </c>
      <c r="AI16" s="38">
        <v>1</v>
      </c>
      <c r="AJ16" s="38">
        <v>20</v>
      </c>
      <c r="AK16" s="38"/>
      <c r="AL16" s="38" t="s">
        <v>50</v>
      </c>
      <c r="AM16" s="38" t="s">
        <v>33</v>
      </c>
      <c r="AN16" s="38"/>
    </row>
    <row r="17" spans="4:40" x14ac:dyDescent="0.3">
      <c r="D17" s="42">
        <f>SUM(B6:D6)</f>
        <v>133731</v>
      </c>
      <c r="G17" s="42">
        <f>SUM(E6:G6)</f>
        <v>84111</v>
      </c>
      <c r="J17" s="42">
        <f>SUM(H6:J6)</f>
        <v>72357</v>
      </c>
      <c r="M17" s="42">
        <f>SUM(K6:M6)</f>
        <v>127237</v>
      </c>
      <c r="AH17" s="31"/>
      <c r="AI17" s="31">
        <v>1</v>
      </c>
      <c r="AJ17" s="31">
        <v>10</v>
      </c>
      <c r="AK17" s="31"/>
      <c r="AL17" s="31" t="s">
        <v>50</v>
      </c>
      <c r="AM17" s="31" t="s">
        <v>33</v>
      </c>
      <c r="AN17" s="31" t="s">
        <v>51</v>
      </c>
    </row>
    <row r="18" spans="4:40" x14ac:dyDescent="0.3">
      <c r="AH18" s="38" t="s">
        <v>52</v>
      </c>
      <c r="AI18" s="39">
        <v>1</v>
      </c>
      <c r="AJ18" s="39">
        <v>25</v>
      </c>
      <c r="AK18" s="39"/>
      <c r="AL18" s="39" t="s">
        <v>21</v>
      </c>
      <c r="AM18" s="39" t="s">
        <v>33</v>
      </c>
      <c r="AN18" s="38"/>
    </row>
    <row r="19" spans="4:40" x14ac:dyDescent="0.3">
      <c r="AH19" s="31"/>
      <c r="AI19" s="32">
        <v>1</v>
      </c>
      <c r="AJ19" s="32">
        <v>25</v>
      </c>
      <c r="AK19" s="32"/>
      <c r="AL19" s="32" t="s">
        <v>39</v>
      </c>
      <c r="AM19" s="32" t="s">
        <v>33</v>
      </c>
      <c r="AN19" s="31"/>
    </row>
    <row r="20" spans="4:40" x14ac:dyDescent="0.3">
      <c r="AH20" s="33" t="s">
        <v>53</v>
      </c>
      <c r="AI20" s="40">
        <v>1</v>
      </c>
      <c r="AJ20" s="40">
        <v>1.6</v>
      </c>
      <c r="AK20" s="40"/>
      <c r="AL20" s="40" t="s">
        <v>54</v>
      </c>
      <c r="AM20" s="40" t="s">
        <v>55</v>
      </c>
      <c r="AN20" s="33"/>
    </row>
    <row r="21" spans="4:40" x14ac:dyDescent="0.3">
      <c r="AH21" t="s">
        <v>56</v>
      </c>
      <c r="AI21">
        <v>1</v>
      </c>
      <c r="AJ21" t="s">
        <v>57</v>
      </c>
    </row>
    <row r="25" spans="4:40" x14ac:dyDescent="0.3">
      <c r="AH25" t="s">
        <v>59</v>
      </c>
    </row>
    <row r="26" spans="4:40" x14ac:dyDescent="0.3">
      <c r="AH26" s="41" t="s">
        <v>58</v>
      </c>
    </row>
  </sheetData>
  <hyperlinks>
    <hyperlink ref="AH26" r:id="rId1" xr:uid="{E4AE258F-2A8D-498B-8F50-C6D677A424BC}"/>
  </hyperlinks>
  <pageMargins left="0.7" right="0.7" top="0.75" bottom="0.75" header="0.3" footer="0.3"/>
  <pageSetup paperSize="9" orientation="portrait" r:id="rId2"/>
  <headerFooter>
    <oddFooter>&amp;L_x000D_&amp;1#&amp;"Aptos"&amp;8&amp;K000000 Statkraft Internal</oddFooter>
  </headerFooter>
  <drawing r:id="rId3"/>
  <legacyDrawing r:id="rId4"/>
</worksheet>
</file>

<file path=docMetadata/LabelInfo.xml><?xml version="1.0" encoding="utf-8"?>
<clbl:labelList xmlns:clbl="http://schemas.microsoft.com/office/2020/mipLabelMetadata">
  <clbl:label id="{88cf5f6c-4629-4960-bcea-18993d441d4e}" enabled="1" method="Standard" siteId="{a40c0d68-338e-44ef-ab17-812ee42d12c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kopi</vt:lpstr>
    </vt:vector>
  </TitlesOfParts>
  <Company>Statkraft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Eldar Danielsen</dc:creator>
  <cp:lastModifiedBy>Yangzhe Chen</cp:lastModifiedBy>
  <dcterms:created xsi:type="dcterms:W3CDTF">2026-01-08T07:25:57Z</dcterms:created>
  <dcterms:modified xsi:type="dcterms:W3CDTF">2026-06-09T09:04:28Z</dcterms:modified>
</cp:coreProperties>
</file>