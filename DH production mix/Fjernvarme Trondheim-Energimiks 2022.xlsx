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yangzhe\myprojects\EIA_2026\DH production mix\"/>
    </mc:Choice>
  </mc:AlternateContent>
  <xr:revisionPtr revIDLastSave="0" documentId="13_ncr:1_{84A3421C-4797-4193-B98E-88D4082C269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rk1" sheetId="1" r:id="rId1"/>
    <sheet name="kopi til kvart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bIwEKFjzVaDRAPWs7CsATTfQ6Uw=="/>
    </ext>
  </extLst>
</workbook>
</file>

<file path=xl/calcChain.xml><?xml version="1.0" encoding="utf-8"?>
<calcChain xmlns="http://schemas.openxmlformats.org/spreadsheetml/2006/main">
  <c r="C23" i="2" l="1"/>
  <c r="D23" i="2"/>
  <c r="E23" i="2"/>
  <c r="F23" i="2"/>
  <c r="G23" i="2"/>
  <c r="H23" i="2"/>
  <c r="I23" i="2"/>
  <c r="J23" i="2"/>
  <c r="K23" i="2"/>
  <c r="L23" i="2"/>
  <c r="M23" i="2"/>
  <c r="B23" i="2"/>
  <c r="C25" i="2"/>
  <c r="D25" i="2"/>
  <c r="E25" i="2"/>
  <c r="F25" i="2"/>
  <c r="G25" i="2"/>
  <c r="H25" i="2"/>
  <c r="I25" i="2"/>
  <c r="J25" i="2"/>
  <c r="K25" i="2"/>
  <c r="L25" i="2"/>
  <c r="M25" i="2"/>
  <c r="C24" i="2"/>
  <c r="D24" i="2"/>
  <c r="E24" i="2"/>
  <c r="F24" i="2"/>
  <c r="G24" i="2"/>
  <c r="H24" i="2"/>
  <c r="I24" i="2"/>
  <c r="J24" i="2"/>
  <c r="K24" i="2"/>
  <c r="L24" i="2"/>
  <c r="M24" i="2"/>
  <c r="C22" i="2"/>
  <c r="D22" i="2"/>
  <c r="E22" i="2"/>
  <c r="F22" i="2"/>
  <c r="G22" i="2"/>
  <c r="H22" i="2"/>
  <c r="I22" i="2"/>
  <c r="J22" i="2"/>
  <c r="K22" i="2"/>
  <c r="L22" i="2"/>
  <c r="M22" i="2"/>
  <c r="B25" i="2"/>
  <c r="B24" i="2"/>
  <c r="B22" i="2"/>
  <c r="O21" i="2"/>
  <c r="O20" i="2"/>
  <c r="O19" i="2"/>
  <c r="O18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N15" i="2"/>
  <c r="N14" i="2"/>
  <c r="N13" i="2"/>
  <c r="N12" i="2"/>
  <c r="N11" i="2"/>
  <c r="N10" i="2"/>
  <c r="N9" i="2"/>
  <c r="N8" i="2"/>
  <c r="N7" i="2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N15" i="1"/>
  <c r="N14" i="1"/>
  <c r="N13" i="1"/>
  <c r="N12" i="1"/>
  <c r="N11" i="1"/>
  <c r="N10" i="1"/>
  <c r="N9" i="1"/>
  <c r="N8" i="1"/>
  <c r="N7" i="1"/>
  <c r="N17" i="1" s="1"/>
  <c r="N17" i="2" l="1"/>
  <c r="P17" i="2" s="1"/>
  <c r="P8" i="1"/>
  <c r="P12" i="1"/>
  <c r="P14" i="1"/>
  <c r="P17" i="1"/>
  <c r="P10" i="1"/>
  <c r="P13" i="1"/>
  <c r="P7" i="1"/>
  <c r="P9" i="1"/>
  <c r="P11" i="1"/>
  <c r="P15" i="1"/>
  <c r="P16" i="1"/>
  <c r="P10" i="2" l="1"/>
  <c r="P9" i="2"/>
  <c r="P15" i="2"/>
  <c r="P14" i="2"/>
  <c r="P11" i="2"/>
  <c r="P8" i="2"/>
  <c r="P13" i="2"/>
  <c r="P7" i="2"/>
  <c r="P16" i="2"/>
  <c r="P12" i="2"/>
</calcChain>
</file>

<file path=xl/sharedStrings.xml><?xml version="1.0" encoding="utf-8"?>
<sst xmlns="http://schemas.openxmlformats.org/spreadsheetml/2006/main" count="62" uniqueCount="31">
  <si>
    <t>Fjernvarme Trondheim 2022</t>
  </si>
  <si>
    <t>Energimiks MWh</t>
  </si>
  <si>
    <t>Energikilde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</si>
  <si>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</si>
  <si>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</si>
  <si>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</si>
  <si>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</si>
  <si>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</si>
  <si>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</si>
  <si>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</si>
  <si>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</si>
  <si>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</si>
  <si>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</si>
  <si>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</si>
  <si>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</si>
  <si>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Sum</t>
  </si>
  <si>
    <t>Prosent-fordeling</t>
  </si>
  <si>
    <t>Spillvarme (Avfallsforbrenning)</t>
  </si>
  <si>
    <t>Biogass</t>
  </si>
  <si>
    <t>Flis</t>
  </si>
  <si>
    <t>Bioolje</t>
  </si>
  <si>
    <t>Spillvarme (Rockwool)</t>
  </si>
  <si>
    <t>Varmepumpe</t>
  </si>
  <si>
    <t>0,1</t>
  </si>
  <si>
    <t>Elektrisitet</t>
  </si>
  <si>
    <t>LNG</t>
  </si>
  <si>
    <t>LPG</t>
  </si>
  <si>
    <t>Fossil olje</t>
  </si>
  <si>
    <t>SUM</t>
  </si>
  <si>
    <t>Kommentar fra Åmund Utne, Statkraft Varme: 
Når det gjelder driftsmessige forhold så kan det nevnes at de siste månedene av året var det tidvis svært høye priser på fossil gass og el
 og noen dager i desember også var vanskelig tilgang til fossil gass. Dette resulterte i høyere bruk av fossil olje en planlagt på slutten av året.
JT - 16.01.2023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</si>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</sst>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3" fontId="4" fillId="2" borderId="5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0" borderId="7" xfId="0" applyNumberFormat="1" applyFont="1" applyBorder="1"/>
    <xf numFmtId="10" fontId="2" fillId="0" borderId="0" xfId="0" applyNumberFormat="1" applyFo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"/>
    </xf>
    <xf numFmtId="3" fontId="4" fillId="0" borderId="10" xfId="0" applyNumberFormat="1" applyFont="1" applyBorder="1"/>
    <xf numFmtId="0" fontId="4" fillId="0" borderId="11" xfId="0" applyFont="1" applyBorder="1"/>
    <xf numFmtId="3" fontId="3" fillId="0" borderId="12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4" xfId="0" applyNumberFormat="1" applyFont="1" applyBorder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00"/>
  <sheetViews>
    <sheetView workbookViewId="0">
      <selection activeCell="B36" sqref="A1:XFD1048576"/>
    </sheetView>
  </sheetViews>
  <sheetFormatPr defaultColWidth="14.44140625" defaultRowHeight="15" customHeight="1" x14ac:dyDescent="0.3"/>
  <cols>
    <col min="1" max="1" width="29.88671875" customWidth="1"/>
    <col min="2" max="13" width="10.6640625" customWidth="1"/>
    <col min="14" max="14" width="11.6640625" customWidth="1"/>
    <col min="15" max="15" width="10.6640625" customWidth="1"/>
    <col min="16" max="16" width="15.88671875" customWidth="1"/>
    <col min="17" max="26" width="10.6640625" customWidth="1"/>
  </cols>
  <sheetData>
    <row r="2" spans="1:17" ht="14.4" x14ac:dyDescent="0.3">
      <c r="A2" s="1" t="s">
        <v>0</v>
      </c>
    </row>
    <row r="3" spans="1:17" ht="14.4" x14ac:dyDescent="0.3">
      <c r="A3" s="2" t="s">
        <v>1</v>
      </c>
    </row>
    <row r="6" spans="1:17" ht="14.4" x14ac:dyDescent="0.3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5" t="s">
        <v>14</v>
      </c>
      <c r="N6" s="5" t="s">
        <v>15</v>
      </c>
      <c r="P6" s="2" t="s">
        <v>16</v>
      </c>
    </row>
    <row r="7" spans="1:17" ht="14.4" x14ac:dyDescent="0.3">
      <c r="A7" s="6" t="s">
        <v>17</v>
      </c>
      <c r="B7" s="7">
        <v>52571</v>
      </c>
      <c r="C7" s="7">
        <v>49381</v>
      </c>
      <c r="D7" s="7">
        <v>55761</v>
      </c>
      <c r="E7" s="7">
        <v>49508</v>
      </c>
      <c r="F7" s="7">
        <v>39120</v>
      </c>
      <c r="G7" s="7">
        <v>23748</v>
      </c>
      <c r="H7" s="7">
        <v>28236</v>
      </c>
      <c r="I7" s="7">
        <v>26201</v>
      </c>
      <c r="J7" s="7">
        <v>28301</v>
      </c>
      <c r="K7" s="7">
        <v>46227</v>
      </c>
      <c r="L7" s="7">
        <v>51714</v>
      </c>
      <c r="M7" s="8">
        <v>56010</v>
      </c>
      <c r="N7" s="9">
        <f t="shared" ref="N7:N16" si="0">SUM(B7:M7)</f>
        <v>506778</v>
      </c>
      <c r="P7" s="10">
        <f t="shared" ref="P7:P17" si="1">N7/$N$17</f>
        <v>0.76120566513006993</v>
      </c>
    </row>
    <row r="8" spans="1:17" ht="14.4" x14ac:dyDescent="0.3">
      <c r="A8" s="6" t="s">
        <v>18</v>
      </c>
      <c r="B8" s="11">
        <v>457</v>
      </c>
      <c r="C8" s="11">
        <v>424</v>
      </c>
      <c r="D8" s="11">
        <v>467</v>
      </c>
      <c r="E8" s="11">
        <v>291</v>
      </c>
      <c r="F8" s="11">
        <v>195</v>
      </c>
      <c r="G8" s="11">
        <v>277</v>
      </c>
      <c r="H8" s="11">
        <v>209</v>
      </c>
      <c r="I8" s="11">
        <v>269</v>
      </c>
      <c r="J8" s="11">
        <v>318</v>
      </c>
      <c r="K8" s="11">
        <v>270</v>
      </c>
      <c r="L8" s="11">
        <v>343</v>
      </c>
      <c r="M8" s="12">
        <v>368</v>
      </c>
      <c r="N8" s="9">
        <f t="shared" si="0"/>
        <v>3888</v>
      </c>
      <c r="P8" s="10">
        <f t="shared" si="1"/>
        <v>5.8399686372054673E-3</v>
      </c>
      <c r="Q8" s="10"/>
    </row>
    <row r="9" spans="1:17" ht="14.4" x14ac:dyDescent="0.3">
      <c r="A9" s="6" t="s">
        <v>19</v>
      </c>
      <c r="B9" s="7">
        <v>6005</v>
      </c>
      <c r="C9" s="7">
        <v>4267</v>
      </c>
      <c r="D9" s="11">
        <v>363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1</v>
      </c>
      <c r="M9" s="8">
        <v>3048</v>
      </c>
      <c r="N9" s="9">
        <f t="shared" si="0"/>
        <v>13684</v>
      </c>
      <c r="P9" s="10">
        <f t="shared" si="1"/>
        <v>2.0554045995761216E-2</v>
      </c>
      <c r="Q9" s="10"/>
    </row>
    <row r="10" spans="1:17" ht="14.4" x14ac:dyDescent="0.3">
      <c r="A10" s="6" t="s">
        <v>20</v>
      </c>
      <c r="B10" s="11">
        <v>112</v>
      </c>
      <c r="C10" s="11">
        <v>398</v>
      </c>
      <c r="D10" s="11">
        <v>33</v>
      </c>
      <c r="E10" s="11">
        <v>198</v>
      </c>
      <c r="F10" s="11">
        <v>249</v>
      </c>
      <c r="G10" s="11">
        <v>11</v>
      </c>
      <c r="H10" s="11">
        <v>0</v>
      </c>
      <c r="I10" s="11">
        <v>0</v>
      </c>
      <c r="J10" s="11">
        <v>41</v>
      </c>
      <c r="K10" s="11">
        <v>481</v>
      </c>
      <c r="L10" s="11">
        <v>700</v>
      </c>
      <c r="M10" s="8">
        <v>3304</v>
      </c>
      <c r="N10" s="9">
        <f t="shared" si="0"/>
        <v>5527</v>
      </c>
      <c r="P10" s="10">
        <f t="shared" si="1"/>
        <v>8.3018278440932652E-3</v>
      </c>
      <c r="Q10" s="10"/>
    </row>
    <row r="11" spans="1:17" ht="14.4" x14ac:dyDescent="0.3">
      <c r="A11" s="6" t="s">
        <v>21</v>
      </c>
      <c r="B11" s="11">
        <v>0</v>
      </c>
      <c r="C11" s="11">
        <v>0</v>
      </c>
      <c r="D11" s="11">
        <v>105</v>
      </c>
      <c r="E11" s="11">
        <v>244</v>
      </c>
      <c r="F11" s="11">
        <v>76</v>
      </c>
      <c r="G11" s="11">
        <v>0</v>
      </c>
      <c r="H11" s="11">
        <v>0</v>
      </c>
      <c r="I11" s="11">
        <v>4</v>
      </c>
      <c r="J11" s="11">
        <v>1</v>
      </c>
      <c r="K11" s="11">
        <v>0</v>
      </c>
      <c r="L11" s="11">
        <v>27</v>
      </c>
      <c r="M11" s="12">
        <v>0</v>
      </c>
      <c r="N11" s="9">
        <f t="shared" si="0"/>
        <v>457</v>
      </c>
      <c r="P11" s="10">
        <f t="shared" si="1"/>
        <v>6.8643664279909933E-4</v>
      </c>
      <c r="Q11" s="10"/>
    </row>
    <row r="12" spans="1:17" ht="14.4" x14ac:dyDescent="0.3">
      <c r="A12" s="6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 t="s">
        <v>23</v>
      </c>
      <c r="K12" s="11" t="s">
        <v>23</v>
      </c>
      <c r="L12" s="11">
        <v>0</v>
      </c>
      <c r="M12" s="12">
        <v>0</v>
      </c>
      <c r="N12" s="9">
        <f t="shared" si="0"/>
        <v>0</v>
      </c>
      <c r="P12" s="10">
        <f t="shared" si="1"/>
        <v>0</v>
      </c>
      <c r="Q12" s="10"/>
    </row>
    <row r="13" spans="1:17" ht="14.4" x14ac:dyDescent="0.3">
      <c r="A13" s="6" t="s">
        <v>24</v>
      </c>
      <c r="B13" s="7">
        <v>24880</v>
      </c>
      <c r="C13" s="7">
        <v>23495</v>
      </c>
      <c r="D13" s="7">
        <v>11323</v>
      </c>
      <c r="E13" s="7">
        <v>7432</v>
      </c>
      <c r="F13" s="7">
        <v>2012</v>
      </c>
      <c r="G13" s="7">
        <v>3079</v>
      </c>
      <c r="H13" s="11">
        <v>16</v>
      </c>
      <c r="I13" s="7">
        <v>1147</v>
      </c>
      <c r="J13" s="7">
        <v>4068</v>
      </c>
      <c r="K13" s="7">
        <v>1204</v>
      </c>
      <c r="L13" s="7">
        <v>5768</v>
      </c>
      <c r="M13" s="8">
        <v>17298</v>
      </c>
      <c r="N13" s="9">
        <f t="shared" si="0"/>
        <v>101722</v>
      </c>
      <c r="P13" s="10">
        <f t="shared" si="1"/>
        <v>0.15279148397989056</v>
      </c>
      <c r="Q13" s="10"/>
    </row>
    <row r="14" spans="1:17" ht="14.4" x14ac:dyDescent="0.3">
      <c r="A14" s="6" t="s">
        <v>25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2">
        <v>2</v>
      </c>
      <c r="N14" s="9">
        <f t="shared" si="0"/>
        <v>2</v>
      </c>
      <c r="P14" s="10">
        <f t="shared" si="1"/>
        <v>3.0040990932126889E-6</v>
      </c>
      <c r="Q14" s="10"/>
    </row>
    <row r="15" spans="1:17" ht="14.4" x14ac:dyDescent="0.3">
      <c r="A15" s="6" t="s">
        <v>26</v>
      </c>
      <c r="B15" s="7">
        <v>1688</v>
      </c>
      <c r="C15" s="7">
        <v>1620</v>
      </c>
      <c r="D15" s="11">
        <v>38</v>
      </c>
      <c r="E15" s="11">
        <v>757</v>
      </c>
      <c r="F15" s="11">
        <v>35</v>
      </c>
      <c r="G15" s="11">
        <v>127</v>
      </c>
      <c r="H15" s="11">
        <v>-15</v>
      </c>
      <c r="I15" s="11">
        <v>65</v>
      </c>
      <c r="J15" s="11">
        <v>793</v>
      </c>
      <c r="K15" s="11">
        <v>915</v>
      </c>
      <c r="L15" s="7">
        <v>3355</v>
      </c>
      <c r="M15" s="8">
        <v>7889</v>
      </c>
      <c r="N15" s="9">
        <f t="shared" si="0"/>
        <v>17267</v>
      </c>
      <c r="P15" s="10">
        <f t="shared" si="1"/>
        <v>2.5935889521251747E-2</v>
      </c>
      <c r="Q15" s="10"/>
    </row>
    <row r="16" spans="1:17" ht="14.4" x14ac:dyDescent="0.3">
      <c r="A16" s="6" t="s">
        <v>27</v>
      </c>
      <c r="B16" s="13">
        <v>992</v>
      </c>
      <c r="C16" s="13">
        <v>499</v>
      </c>
      <c r="D16" s="13">
        <v>8</v>
      </c>
      <c r="E16" s="13">
        <v>18</v>
      </c>
      <c r="F16" s="13">
        <v>2</v>
      </c>
      <c r="G16" s="13">
        <v>255</v>
      </c>
      <c r="H16" s="13">
        <v>0</v>
      </c>
      <c r="I16" s="13">
        <v>0</v>
      </c>
      <c r="J16" s="13">
        <v>61</v>
      </c>
      <c r="K16" s="13">
        <v>61</v>
      </c>
      <c r="L16" s="13">
        <v>85</v>
      </c>
      <c r="M16" s="14">
        <v>14451</v>
      </c>
      <c r="N16" s="15">
        <f t="shared" si="0"/>
        <v>16432</v>
      </c>
      <c r="P16" s="10">
        <f t="shared" si="1"/>
        <v>2.4681678149835452E-2</v>
      </c>
      <c r="Q16" s="10"/>
    </row>
    <row r="17" spans="1:17" ht="14.4" x14ac:dyDescent="0.3">
      <c r="A17" s="16" t="s">
        <v>28</v>
      </c>
      <c r="B17" s="17">
        <f t="shared" ref="B17:N17" si="2">SUM(B7:B16)</f>
        <v>86705</v>
      </c>
      <c r="C17" s="18">
        <f t="shared" si="2"/>
        <v>80084</v>
      </c>
      <c r="D17" s="18">
        <f t="shared" si="2"/>
        <v>68098</v>
      </c>
      <c r="E17" s="18">
        <f t="shared" si="2"/>
        <v>58448</v>
      </c>
      <c r="F17" s="18">
        <f t="shared" si="2"/>
        <v>41689</v>
      </c>
      <c r="G17" s="18">
        <f t="shared" si="2"/>
        <v>27497</v>
      </c>
      <c r="H17" s="18">
        <f t="shared" si="2"/>
        <v>28446</v>
      </c>
      <c r="I17" s="18">
        <f t="shared" si="2"/>
        <v>27686</v>
      </c>
      <c r="J17" s="18">
        <f t="shared" si="2"/>
        <v>33583</v>
      </c>
      <c r="K17" s="18">
        <f t="shared" si="2"/>
        <v>49158</v>
      </c>
      <c r="L17" s="18">
        <f t="shared" si="2"/>
        <v>61993</v>
      </c>
      <c r="M17" s="19">
        <f t="shared" si="2"/>
        <v>102370</v>
      </c>
      <c r="N17" s="20">
        <f t="shared" si="2"/>
        <v>665757</v>
      </c>
      <c r="P17" s="10">
        <f t="shared" si="1"/>
        <v>1</v>
      </c>
      <c r="Q17" s="10"/>
    </row>
    <row r="20" spans="1:17" ht="14.4" x14ac:dyDescent="0.3">
      <c r="A20" s="2" t="s">
        <v>29</v>
      </c>
    </row>
    <row r="21" spans="1:17" ht="15.75" customHeight="1" x14ac:dyDescent="0.3">
      <c r="M21" s="2" t="s">
        <v>30</v>
      </c>
    </row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AD38-C921-4293-AF74-B07C75305AA0}">
  <dimension ref="A2:Q1000"/>
  <sheetViews>
    <sheetView tabSelected="1" workbookViewId="0">
      <selection activeCell="B22" sqref="B22:M25"/>
    </sheetView>
  </sheetViews>
  <sheetFormatPr defaultColWidth="14.44140625" defaultRowHeight="14.4" x14ac:dyDescent="0.3"/>
  <cols>
    <col min="1" max="1" width="29.88671875" customWidth="1"/>
    <col min="2" max="13" width="10.6640625" customWidth="1"/>
    <col min="14" max="14" width="11.6640625" customWidth="1"/>
    <col min="15" max="15" width="10.6640625" customWidth="1"/>
    <col min="16" max="16" width="15.88671875" customWidth="1"/>
    <col min="17" max="26" width="10.6640625" customWidth="1"/>
  </cols>
  <sheetData>
    <row r="2" spans="1:17" x14ac:dyDescent="0.3">
      <c r="A2" s="1" t="s">
        <v>0</v>
      </c>
    </row>
    <row r="3" spans="1:17" x14ac:dyDescent="0.3">
      <c r="A3" s="2" t="s">
        <v>1</v>
      </c>
    </row>
    <row r="6" spans="1:17" ht="15" thickBot="1" x14ac:dyDescent="0.35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5" t="s">
        <v>14</v>
      </c>
      <c r="N6" s="5" t="s">
        <v>15</v>
      </c>
      <c r="P6" s="2" t="s">
        <v>16</v>
      </c>
    </row>
    <row r="7" spans="1:17" x14ac:dyDescent="0.3">
      <c r="A7" s="6" t="s">
        <v>17</v>
      </c>
      <c r="B7" s="7">
        <v>52571</v>
      </c>
      <c r="C7" s="7">
        <v>49381</v>
      </c>
      <c r="D7" s="7">
        <v>55761</v>
      </c>
      <c r="E7" s="7">
        <v>49508</v>
      </c>
      <c r="F7" s="7">
        <v>39120</v>
      </c>
      <c r="G7" s="7">
        <v>23748</v>
      </c>
      <c r="H7" s="7">
        <v>28236</v>
      </c>
      <c r="I7" s="7">
        <v>26201</v>
      </c>
      <c r="J7" s="7">
        <v>28301</v>
      </c>
      <c r="K7" s="7">
        <v>46227</v>
      </c>
      <c r="L7" s="7">
        <v>51714</v>
      </c>
      <c r="M7" s="8">
        <v>56010</v>
      </c>
      <c r="N7" s="9">
        <f t="shared" ref="N7:N16" si="0">SUM(B7:M7)</f>
        <v>506778</v>
      </c>
      <c r="P7" s="10">
        <f t="shared" ref="P7:P17" si="1">N7/$N$17</f>
        <v>0.76120543645641392</v>
      </c>
    </row>
    <row r="8" spans="1:17" x14ac:dyDescent="0.3">
      <c r="A8" s="6" t="s">
        <v>18</v>
      </c>
      <c r="B8" s="11">
        <v>457</v>
      </c>
      <c r="C8" s="11">
        <v>424</v>
      </c>
      <c r="D8" s="11">
        <v>467</v>
      </c>
      <c r="E8" s="11">
        <v>291</v>
      </c>
      <c r="F8" s="11">
        <v>195</v>
      </c>
      <c r="G8" s="11">
        <v>277</v>
      </c>
      <c r="H8" s="11">
        <v>209</v>
      </c>
      <c r="I8" s="11">
        <v>269</v>
      </c>
      <c r="J8" s="11">
        <v>318</v>
      </c>
      <c r="K8" s="11">
        <v>270</v>
      </c>
      <c r="L8" s="11">
        <v>343</v>
      </c>
      <c r="M8" s="12">
        <v>368</v>
      </c>
      <c r="N8" s="9">
        <f t="shared" si="0"/>
        <v>3888</v>
      </c>
      <c r="P8" s="10">
        <f t="shared" si="1"/>
        <v>5.8399668828215453E-3</v>
      </c>
      <c r="Q8" s="10"/>
    </row>
    <row r="9" spans="1:17" x14ac:dyDescent="0.3">
      <c r="A9" s="6" t="s">
        <v>19</v>
      </c>
      <c r="B9" s="7">
        <v>6005</v>
      </c>
      <c r="C9" s="7">
        <v>4267</v>
      </c>
      <c r="D9" s="11">
        <v>363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1</v>
      </c>
      <c r="M9" s="8">
        <v>3048</v>
      </c>
      <c r="N9" s="9">
        <f t="shared" si="0"/>
        <v>13684</v>
      </c>
      <c r="P9" s="10">
        <f t="shared" si="1"/>
        <v>2.0554039821123977E-2</v>
      </c>
      <c r="Q9" s="10"/>
    </row>
    <row r="10" spans="1:17" x14ac:dyDescent="0.3">
      <c r="A10" s="6" t="s">
        <v>20</v>
      </c>
      <c r="B10" s="11">
        <v>112</v>
      </c>
      <c r="C10" s="11">
        <v>398</v>
      </c>
      <c r="D10" s="11">
        <v>33</v>
      </c>
      <c r="E10" s="11">
        <v>198</v>
      </c>
      <c r="F10" s="11">
        <v>249</v>
      </c>
      <c r="G10" s="11">
        <v>11</v>
      </c>
      <c r="H10" s="11">
        <v>0</v>
      </c>
      <c r="I10" s="11">
        <v>0</v>
      </c>
      <c r="J10" s="11">
        <v>41</v>
      </c>
      <c r="K10" s="11">
        <v>481</v>
      </c>
      <c r="L10" s="11">
        <v>700</v>
      </c>
      <c r="M10" s="8">
        <v>3304</v>
      </c>
      <c r="N10" s="9">
        <f t="shared" si="0"/>
        <v>5527</v>
      </c>
      <c r="P10" s="10">
        <f t="shared" si="1"/>
        <v>8.3018253501426654E-3</v>
      </c>
      <c r="Q10" s="10"/>
    </row>
    <row r="11" spans="1:17" x14ac:dyDescent="0.3">
      <c r="A11" s="6" t="s">
        <v>21</v>
      </c>
      <c r="B11" s="11">
        <v>0</v>
      </c>
      <c r="C11" s="11">
        <v>0</v>
      </c>
      <c r="D11" s="11">
        <v>105</v>
      </c>
      <c r="E11" s="11">
        <v>244</v>
      </c>
      <c r="F11" s="11">
        <v>76</v>
      </c>
      <c r="G11" s="11">
        <v>0</v>
      </c>
      <c r="H11" s="11">
        <v>0</v>
      </c>
      <c r="I11" s="11">
        <v>4</v>
      </c>
      <c r="J11" s="11">
        <v>1</v>
      </c>
      <c r="K11" s="11">
        <v>0</v>
      </c>
      <c r="L11" s="11">
        <v>27</v>
      </c>
      <c r="M11" s="12">
        <v>0</v>
      </c>
      <c r="N11" s="9">
        <f t="shared" si="0"/>
        <v>457</v>
      </c>
      <c r="P11" s="10">
        <f t="shared" si="1"/>
        <v>6.864364365867918E-4</v>
      </c>
      <c r="Q11" s="10"/>
    </row>
    <row r="12" spans="1:17" x14ac:dyDescent="0.3">
      <c r="A12" s="6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0.1</v>
      </c>
      <c r="K12" s="11">
        <v>0.1</v>
      </c>
      <c r="L12" s="11">
        <v>0</v>
      </c>
      <c r="M12" s="12">
        <v>0</v>
      </c>
      <c r="N12" s="9">
        <f t="shared" si="0"/>
        <v>0.2</v>
      </c>
      <c r="P12" s="10">
        <f t="shared" si="1"/>
        <v>3.0040981907518239E-7</v>
      </c>
      <c r="Q12" s="10"/>
    </row>
    <row r="13" spans="1:17" x14ac:dyDescent="0.3">
      <c r="A13" s="6" t="s">
        <v>24</v>
      </c>
      <c r="B13" s="7">
        <v>24880</v>
      </c>
      <c r="C13" s="7">
        <v>23495</v>
      </c>
      <c r="D13" s="7">
        <v>11323</v>
      </c>
      <c r="E13" s="7">
        <v>7432</v>
      </c>
      <c r="F13" s="7">
        <v>2012</v>
      </c>
      <c r="G13" s="7">
        <v>3079</v>
      </c>
      <c r="H13" s="11">
        <v>16</v>
      </c>
      <c r="I13" s="7">
        <v>1147</v>
      </c>
      <c r="J13" s="7">
        <v>4068</v>
      </c>
      <c r="K13" s="7">
        <v>1204</v>
      </c>
      <c r="L13" s="7">
        <v>5768</v>
      </c>
      <c r="M13" s="8">
        <v>17298</v>
      </c>
      <c r="N13" s="9">
        <f t="shared" si="0"/>
        <v>101722</v>
      </c>
      <c r="P13" s="10">
        <f t="shared" si="1"/>
        <v>0.15279143807982851</v>
      </c>
      <c r="Q13" s="10"/>
    </row>
    <row r="14" spans="1:17" x14ac:dyDescent="0.3">
      <c r="A14" s="6" t="s">
        <v>25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2">
        <v>2</v>
      </c>
      <c r="N14" s="9">
        <f t="shared" si="0"/>
        <v>2</v>
      </c>
      <c r="P14" s="10">
        <f t="shared" si="1"/>
        <v>3.0040981907518237E-6</v>
      </c>
      <c r="Q14" s="10"/>
    </row>
    <row r="15" spans="1:17" x14ac:dyDescent="0.3">
      <c r="A15" s="6" t="s">
        <v>26</v>
      </c>
      <c r="B15" s="7">
        <v>1688</v>
      </c>
      <c r="C15" s="7">
        <v>1620</v>
      </c>
      <c r="D15" s="11">
        <v>38</v>
      </c>
      <c r="E15" s="11">
        <v>757</v>
      </c>
      <c r="F15" s="11">
        <v>35</v>
      </c>
      <c r="G15" s="11">
        <v>127</v>
      </c>
      <c r="H15" s="11">
        <v>-15</v>
      </c>
      <c r="I15" s="11">
        <v>65</v>
      </c>
      <c r="J15" s="11">
        <v>793</v>
      </c>
      <c r="K15" s="11">
        <v>915</v>
      </c>
      <c r="L15" s="7">
        <v>3355</v>
      </c>
      <c r="M15" s="8">
        <v>7889</v>
      </c>
      <c r="N15" s="9">
        <f t="shared" si="0"/>
        <v>17267</v>
      </c>
      <c r="P15" s="10">
        <f t="shared" si="1"/>
        <v>2.5935881729855871E-2</v>
      </c>
      <c r="Q15" s="10"/>
    </row>
    <row r="16" spans="1:17" x14ac:dyDescent="0.3">
      <c r="A16" s="6" t="s">
        <v>27</v>
      </c>
      <c r="B16" s="13">
        <v>992</v>
      </c>
      <c r="C16" s="13">
        <v>499</v>
      </c>
      <c r="D16" s="13">
        <v>8</v>
      </c>
      <c r="E16" s="13">
        <v>18</v>
      </c>
      <c r="F16" s="13">
        <v>2</v>
      </c>
      <c r="G16" s="13">
        <v>255</v>
      </c>
      <c r="H16" s="13">
        <v>0</v>
      </c>
      <c r="I16" s="13">
        <v>0</v>
      </c>
      <c r="J16" s="13">
        <v>61</v>
      </c>
      <c r="K16" s="13">
        <v>61</v>
      </c>
      <c r="L16" s="13">
        <v>85</v>
      </c>
      <c r="M16" s="14">
        <v>14451</v>
      </c>
      <c r="N16" s="15">
        <f t="shared" si="0"/>
        <v>16432</v>
      </c>
      <c r="P16" s="10">
        <f t="shared" si="1"/>
        <v>2.4681670735216984E-2</v>
      </c>
      <c r="Q16" s="10"/>
    </row>
    <row r="17" spans="1:17" ht="15" thickBot="1" x14ac:dyDescent="0.35">
      <c r="A17" s="16" t="s">
        <v>28</v>
      </c>
      <c r="B17" s="17">
        <f t="shared" ref="B17:N17" si="2">SUM(B7:B16)</f>
        <v>86705</v>
      </c>
      <c r="C17" s="18">
        <f t="shared" si="2"/>
        <v>80084</v>
      </c>
      <c r="D17" s="18">
        <f t="shared" si="2"/>
        <v>68098</v>
      </c>
      <c r="E17" s="18">
        <f t="shared" si="2"/>
        <v>58448</v>
      </c>
      <c r="F17" s="18">
        <f t="shared" si="2"/>
        <v>41689</v>
      </c>
      <c r="G17" s="18">
        <f t="shared" si="2"/>
        <v>27497</v>
      </c>
      <c r="H17" s="18">
        <f t="shared" si="2"/>
        <v>28446</v>
      </c>
      <c r="I17" s="18">
        <f t="shared" si="2"/>
        <v>27686</v>
      </c>
      <c r="J17" s="18">
        <f t="shared" si="2"/>
        <v>33583.1</v>
      </c>
      <c r="K17" s="18">
        <f t="shared" si="2"/>
        <v>49158.1</v>
      </c>
      <c r="L17" s="18">
        <f t="shared" si="2"/>
        <v>61993</v>
      </c>
      <c r="M17" s="19">
        <f t="shared" si="2"/>
        <v>102370</v>
      </c>
      <c r="N17" s="20">
        <f t="shared" si="2"/>
        <v>665757.19999999995</v>
      </c>
      <c r="P17" s="10">
        <f t="shared" si="1"/>
        <v>1</v>
      </c>
      <c r="Q17" s="10"/>
    </row>
    <row r="18" spans="1:17" x14ac:dyDescent="0.3">
      <c r="O18" s="21">
        <f>SUM(B7:D7)</f>
        <v>157713</v>
      </c>
    </row>
    <row r="19" spans="1:17" x14ac:dyDescent="0.3">
      <c r="O19" s="21">
        <f>SUM(E7:G7)</f>
        <v>112376</v>
      </c>
    </row>
    <row r="20" spans="1:17" x14ac:dyDescent="0.3">
      <c r="A20" s="2" t="s">
        <v>29</v>
      </c>
      <c r="O20" s="21">
        <f>SUM(H7:J7)</f>
        <v>82738</v>
      </c>
    </row>
    <row r="21" spans="1:17" ht="15.75" customHeight="1" x14ac:dyDescent="0.3">
      <c r="M21" s="2" t="s">
        <v>30</v>
      </c>
      <c r="O21" s="21">
        <f>SUM(K7:M7)</f>
        <v>153951</v>
      </c>
    </row>
    <row r="22" spans="1:17" ht="15.75" customHeight="1" x14ac:dyDescent="0.3">
      <c r="B22" s="21">
        <f>B7+B9</f>
        <v>58576</v>
      </c>
      <c r="C22" s="21">
        <f t="shared" ref="C22:M22" si="3">C7+C9</f>
        <v>53648</v>
      </c>
      <c r="D22" s="21">
        <f t="shared" si="3"/>
        <v>56124</v>
      </c>
      <c r="E22" s="21">
        <f t="shared" si="3"/>
        <v>49508</v>
      </c>
      <c r="F22" s="21">
        <f t="shared" si="3"/>
        <v>39120</v>
      </c>
      <c r="G22" s="21">
        <f t="shared" si="3"/>
        <v>23748</v>
      </c>
      <c r="H22" s="21">
        <f t="shared" si="3"/>
        <v>28236</v>
      </c>
      <c r="I22" s="21">
        <f t="shared" si="3"/>
        <v>26201</v>
      </c>
      <c r="J22" s="21">
        <f t="shared" si="3"/>
        <v>28301</v>
      </c>
      <c r="K22" s="21">
        <f t="shared" si="3"/>
        <v>46227</v>
      </c>
      <c r="L22" s="21">
        <f t="shared" si="3"/>
        <v>51715</v>
      </c>
      <c r="M22" s="21">
        <f t="shared" si="3"/>
        <v>59058</v>
      </c>
    </row>
    <row r="23" spans="1:17" ht="15.75" customHeight="1" x14ac:dyDescent="0.3">
      <c r="B23" s="21">
        <f>B10+B8+B9</f>
        <v>6574</v>
      </c>
      <c r="C23" s="21">
        <f t="shared" ref="C23:M23" si="4">C10+C8+C9</f>
        <v>5089</v>
      </c>
      <c r="D23" s="21">
        <f t="shared" si="4"/>
        <v>863</v>
      </c>
      <c r="E23" s="21">
        <f t="shared" si="4"/>
        <v>489</v>
      </c>
      <c r="F23" s="21">
        <f t="shared" si="4"/>
        <v>444</v>
      </c>
      <c r="G23" s="21">
        <f t="shared" si="4"/>
        <v>288</v>
      </c>
      <c r="H23" s="21">
        <f t="shared" si="4"/>
        <v>209</v>
      </c>
      <c r="I23" s="21">
        <f t="shared" si="4"/>
        <v>269</v>
      </c>
      <c r="J23" s="21">
        <f t="shared" si="4"/>
        <v>359</v>
      </c>
      <c r="K23" s="21">
        <f t="shared" si="4"/>
        <v>751</v>
      </c>
      <c r="L23" s="21">
        <f t="shared" si="4"/>
        <v>1044</v>
      </c>
      <c r="M23" s="21">
        <f t="shared" si="4"/>
        <v>6720</v>
      </c>
    </row>
    <row r="24" spans="1:17" ht="15.75" customHeight="1" x14ac:dyDescent="0.3">
      <c r="B24" s="21">
        <f>B12+B13</f>
        <v>24880</v>
      </c>
      <c r="C24" s="21">
        <f t="shared" ref="C24:M24" si="5">C12+C13</f>
        <v>23495</v>
      </c>
      <c r="D24" s="21">
        <f t="shared" si="5"/>
        <v>11323</v>
      </c>
      <c r="E24" s="21">
        <f t="shared" si="5"/>
        <v>7432</v>
      </c>
      <c r="F24" s="21">
        <f t="shared" si="5"/>
        <v>2012</v>
      </c>
      <c r="G24" s="21">
        <f t="shared" si="5"/>
        <v>3079</v>
      </c>
      <c r="H24" s="21">
        <f t="shared" si="5"/>
        <v>16</v>
      </c>
      <c r="I24" s="21">
        <f t="shared" si="5"/>
        <v>1147</v>
      </c>
      <c r="J24" s="21">
        <f t="shared" si="5"/>
        <v>4068.1</v>
      </c>
      <c r="K24" s="21">
        <f t="shared" si="5"/>
        <v>1204.0999999999999</v>
      </c>
      <c r="L24" s="21">
        <f t="shared" si="5"/>
        <v>5768</v>
      </c>
      <c r="M24" s="21">
        <f t="shared" si="5"/>
        <v>17298</v>
      </c>
    </row>
    <row r="25" spans="1:17" ht="15.75" customHeight="1" x14ac:dyDescent="0.3">
      <c r="B25" s="21">
        <f>B16+B15+B14</f>
        <v>2680</v>
      </c>
      <c r="C25" s="21">
        <f t="shared" ref="C25:M25" si="6">C16+C15+C14</f>
        <v>2119</v>
      </c>
      <c r="D25" s="21">
        <f t="shared" si="6"/>
        <v>46</v>
      </c>
      <c r="E25" s="21">
        <f t="shared" si="6"/>
        <v>775</v>
      </c>
      <c r="F25" s="21">
        <f t="shared" si="6"/>
        <v>37</v>
      </c>
      <c r="G25" s="21">
        <f t="shared" si="6"/>
        <v>382</v>
      </c>
      <c r="H25" s="21">
        <f t="shared" si="6"/>
        <v>-15</v>
      </c>
      <c r="I25" s="21">
        <f t="shared" si="6"/>
        <v>65</v>
      </c>
      <c r="J25" s="21">
        <f t="shared" si="6"/>
        <v>854</v>
      </c>
      <c r="K25" s="21">
        <f t="shared" si="6"/>
        <v>976</v>
      </c>
      <c r="L25" s="21">
        <f t="shared" si="6"/>
        <v>3440</v>
      </c>
      <c r="M25" s="21">
        <f t="shared" si="6"/>
        <v>22342</v>
      </c>
    </row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7:A1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kopi til kvartal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Utne Åmund</dc:creator>
  <cp:lastModifiedBy>Yangzhe Chen</cp:lastModifiedBy>
  <dcterms:created xsi:type="dcterms:W3CDTF">2023-01-10T08:19:22Z</dcterms:created>
  <dcterms:modified xsi:type="dcterms:W3CDTF">2026-06-09T08:56:04Z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fab47-5f18-4dcb-9ef3-cd87045d98ab_Enabled">
    <vt:lpwstr>true</vt:lpwstr>
  </property>
  <property fmtid="{D5CDD505-2E9C-101B-9397-08002B2CF9AE}" pid="3" name="MSIP_Label_f8afab47-5f18-4dcb-9ef3-cd87045d98ab_SetDate">
    <vt:lpwstr>2023-01-10T08:19:22Z</vt:lpwstr>
  </property>
  <property fmtid="{D5CDD505-2E9C-101B-9397-08002B2CF9AE}" pid="4" name="MSIP_Label_f8afab47-5f18-4dcb-9ef3-cd87045d98ab_Method">
    <vt:lpwstr>Standard</vt:lpwstr>
  </property>
  <property fmtid="{D5CDD505-2E9C-101B-9397-08002B2CF9AE}" pid="5" name="MSIP_Label_f8afab47-5f18-4dcb-9ef3-cd87045d98ab_Name">
    <vt:lpwstr>Statkraft Internal - No Label</vt:lpwstr>
  </property>
  <property fmtid="{D5CDD505-2E9C-101B-9397-08002B2CF9AE}" pid="6" name="MSIP_Label_f8afab47-5f18-4dcb-9ef3-cd87045d98ab_SiteId">
    <vt:lpwstr>a40c0d68-338e-44ef-ab17-812ee42d12c7</vt:lpwstr>
  </property>
  <property fmtid="{D5CDD505-2E9C-101B-9397-08002B2CF9AE}" pid="7" name="MSIP_Label_f8afab47-5f18-4dcb-9ef3-cd87045d98ab_ActionId">
    <vt:lpwstr>d345bcfb-d848-40b6-9569-f6b107e890a9</vt:lpwstr>
  </property>
  <property fmtid="{D5CDD505-2E9C-101B-9397-08002B2CF9AE}" pid="8" name="MSIP_Label_f8afab47-5f18-4dcb-9ef3-cd87045d98ab_ContentBits">
    <vt:lpwstr>0</vt:lpwstr>
  </property>
</Properties>
</file>